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F:\IOARRs COVID GRAP\EXPEDIENTES_TECNICOS_COVID\Exp_Tec_IOARR_Huaccana\7. PRESUPUESTO ANALITICO\"/>
    </mc:Choice>
  </mc:AlternateContent>
  <bookViews>
    <workbookView xWindow="0" yWindow="0" windowWidth="24000" windowHeight="10020" tabRatio="690"/>
  </bookViews>
  <sheets>
    <sheet name="Resumen General" sheetId="25" r:id="rId1"/>
    <sheet name="Resumen" sheetId="10" state="hidden" r:id="rId2"/>
    <sheet name="C.Directo" sheetId="13" r:id="rId3"/>
    <sheet name="G.General" sheetId="11" r:id="rId4"/>
    <sheet name="Exp.Téc. " sheetId="22" state="hidden" r:id="rId5"/>
    <sheet name="Supervision" sheetId="12" r:id="rId6"/>
    <sheet name="Liquidacion" sheetId="16" r:id="rId7"/>
    <sheet name="Capacitacion Social" sheetId="21" state="hidden" r:id="rId8"/>
  </sheets>
  <functionGroups builtInGroupCount="18"/>
  <externalReferences>
    <externalReference r:id="rId9"/>
    <externalReference r:id="rId10"/>
  </externalReferences>
  <definedNames>
    <definedName name="_xlnm._FilterDatabase" localSheetId="2" hidden="1">C.Directo!$B$36:$F$36</definedName>
    <definedName name="_xlnm._FilterDatabase" localSheetId="7" hidden="1">'Capacitacion Social'!$B$33:$F$92</definedName>
    <definedName name="_xlnm._FilterDatabase" localSheetId="4" hidden="1">'Exp.Téc. '!#REF!</definedName>
    <definedName name="_xlnm._FilterDatabase" localSheetId="3" hidden="1">G.General!#REF!</definedName>
    <definedName name="_xlnm._FilterDatabase" localSheetId="6" hidden="1">Liquidacion!$B$38:$F$77</definedName>
    <definedName name="_xlnm._FilterDatabase" localSheetId="1" hidden="1">Resumen!#REF!</definedName>
    <definedName name="_xlnm._FilterDatabase" localSheetId="5" hidden="1">Supervision!$B$33:$F$68</definedName>
    <definedName name="´ññ" localSheetId="7">#REF!</definedName>
    <definedName name="´ññ" localSheetId="4">#REF!</definedName>
    <definedName name="´ññ">#REF!</definedName>
    <definedName name="_xlnm.Print_Area" localSheetId="2">C.Directo!$A$1:$G$305</definedName>
    <definedName name="_xlnm.Print_Area" localSheetId="7">'Capacitacion Social'!$A$1:$G$200</definedName>
    <definedName name="_xlnm.Print_Area" localSheetId="4">'Exp.Téc. '!$A$1:$H$180</definedName>
    <definedName name="_xlnm.Print_Area" localSheetId="3">G.General!$A$1:$G$145</definedName>
    <definedName name="_xlnm.Print_Area" localSheetId="6">Liquidacion!$A$1:$G$115</definedName>
    <definedName name="_xlnm.Print_Area" localSheetId="1">Resumen!$B$1:$L$20</definedName>
    <definedName name="_xlnm.Print_Area" localSheetId="0">'Resumen General'!$B$1:$G$29</definedName>
    <definedName name="_xlnm.Print_Area" localSheetId="5">Supervision!$A$1:$G$109</definedName>
    <definedName name="BAJO_URUBAMBA">Resumen!#REF!</definedName>
    <definedName name="_xlnm.Database">#REF!</definedName>
    <definedName name="BuiltIn_Print_Area" localSheetId="7">#REF!</definedName>
    <definedName name="BuiltIn_Print_Area" localSheetId="4">#REF!</definedName>
    <definedName name="BuiltIn_Print_Area">#REF!</definedName>
    <definedName name="BuiltIn_Print_Area___0" localSheetId="7">#REF!</definedName>
    <definedName name="BuiltIn_Print_Area___0" localSheetId="4">#REF!</definedName>
    <definedName name="BuiltIn_Print_Area___0">#REF!</definedName>
    <definedName name="_xlnm.Criteria" localSheetId="1">Resumen!#REF!</definedName>
    <definedName name="ECHARATI">Resumen!#REF!</definedName>
    <definedName name="KITENI">Resumen!#REF!</definedName>
    <definedName name="s" localSheetId="7">#REF!</definedName>
    <definedName name="s" localSheetId="4">#REF!</definedName>
    <definedName name="s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HARED_FORMULA_4">#N/A</definedName>
    <definedName name="SHARED_FORMULA_5">#N/A</definedName>
    <definedName name="_xlnm.Print_Titles" localSheetId="3">G.General!$1:$26</definedName>
    <definedName name="_xlnm.Print_Titles" localSheetId="6">Liquidacion!$1:$28</definedName>
    <definedName name="_xlnm.Print_Titles" localSheetId="5">Supervision!$1:$24</definedName>
  </definedNames>
  <calcPr calcId="152511"/>
</workbook>
</file>

<file path=xl/calcChain.xml><?xml version="1.0" encoding="utf-8"?>
<calcChain xmlns="http://schemas.openxmlformats.org/spreadsheetml/2006/main">
  <c r="I11" i="25" l="1"/>
  <c r="F165" i="13"/>
  <c r="G81" i="11" l="1"/>
  <c r="F97" i="11"/>
  <c r="F98" i="11"/>
  <c r="F99" i="11"/>
  <c r="F100" i="11"/>
  <c r="F101" i="11"/>
  <c r="F102" i="11"/>
  <c r="F96" i="11"/>
  <c r="F95" i="11"/>
  <c r="F103" i="11" l="1"/>
  <c r="G92" i="11" s="1"/>
  <c r="E66" i="16"/>
  <c r="E65" i="16"/>
  <c r="E75" i="16"/>
  <c r="E74" i="16"/>
  <c r="E48" i="16"/>
  <c r="F48" i="16" s="1"/>
  <c r="E47" i="16"/>
  <c r="F47" i="16" s="1"/>
  <c r="F55" i="16"/>
  <c r="F54" i="16"/>
  <c r="G26" i="12"/>
  <c r="F108" i="11"/>
  <c r="F109" i="11" s="1"/>
  <c r="G105" i="11" s="1"/>
  <c r="F77" i="12"/>
  <c r="F76" i="12"/>
  <c r="F75" i="12"/>
  <c r="F74" i="12"/>
  <c r="E66" i="12"/>
  <c r="E58" i="12"/>
  <c r="F47" i="12"/>
  <c r="F48" i="12" s="1"/>
  <c r="E41" i="12"/>
  <c r="F41" i="12" s="1"/>
  <c r="F42" i="12" s="1"/>
  <c r="E77" i="11"/>
  <c r="E68" i="11"/>
  <c r="E69" i="11"/>
  <c r="D68" i="11"/>
  <c r="D77" i="11" s="1"/>
  <c r="D48" i="11"/>
  <c r="E48" i="11"/>
  <c r="J39" i="11"/>
  <c r="F39" i="11"/>
  <c r="F88" i="11"/>
  <c r="E78" i="11"/>
  <c r="E76" i="11"/>
  <c r="E75" i="11"/>
  <c r="E67" i="11"/>
  <c r="E66" i="11"/>
  <c r="D78" i="11"/>
  <c r="D69" i="11"/>
  <c r="J38" i="11"/>
  <c r="E49" i="11"/>
  <c r="E47" i="11"/>
  <c r="E46" i="11"/>
  <c r="D49" i="11"/>
  <c r="D58" i="11" s="1"/>
  <c r="F58" i="11" s="1"/>
  <c r="D47" i="11"/>
  <c r="D56" i="11" s="1"/>
  <c r="F56" i="11" s="1"/>
  <c r="D46" i="11"/>
  <c r="D55" i="11" s="1"/>
  <c r="F55" i="11" s="1"/>
  <c r="F69" i="11" l="1"/>
  <c r="F68" i="11"/>
  <c r="F49" i="16"/>
  <c r="F56" i="16"/>
  <c r="F77" i="11"/>
  <c r="F48" i="11"/>
  <c r="D57" i="11"/>
  <c r="F57" i="11" s="1"/>
  <c r="F59" i="11" s="1"/>
  <c r="F78" i="12"/>
  <c r="F49" i="11"/>
  <c r="F47" i="11"/>
  <c r="F46" i="11"/>
  <c r="F50" i="11" l="1"/>
  <c r="G14" i="25" l="1"/>
  <c r="D67" i="11"/>
  <c r="D76" i="11" s="1"/>
  <c r="D66" i="11"/>
  <c r="D75" i="11" s="1"/>
  <c r="F38" i="11"/>
  <c r="G20" i="13" l="1"/>
  <c r="B76" i="11"/>
  <c r="B67" i="11"/>
  <c r="B58" i="12" l="1"/>
  <c r="B66" i="12"/>
  <c r="B75" i="11"/>
  <c r="B66" i="11"/>
  <c r="B166" i="13"/>
  <c r="B167" i="13"/>
  <c r="B168" i="13"/>
  <c r="B169" i="13"/>
  <c r="B170" i="13"/>
  <c r="B171" i="13"/>
  <c r="B172" i="13"/>
  <c r="G31" i="13" l="1"/>
  <c r="B173" i="13"/>
  <c r="F174" i="13"/>
  <c r="C9" i="12"/>
  <c r="K20" i="10" l="1"/>
  <c r="G17" i="10"/>
  <c r="J20" i="10"/>
  <c r="F291" i="13"/>
  <c r="B18" i="11" l="1"/>
  <c r="B17" i="11"/>
  <c r="B16" i="11"/>
  <c r="B15" i="11"/>
  <c r="G279" i="13" l="1"/>
  <c r="F89" i="11"/>
  <c r="F87" i="11"/>
  <c r="C10" i="11" l="1"/>
  <c r="C9" i="16" s="1"/>
  <c r="B7" i="10"/>
  <c r="F18" i="10" l="1"/>
  <c r="E18" i="10"/>
  <c r="F89" i="12" l="1"/>
  <c r="F88" i="12"/>
  <c r="F87" i="12"/>
  <c r="F86" i="12"/>
  <c r="F85" i="12"/>
  <c r="F84" i="12"/>
  <c r="F83" i="12"/>
  <c r="F116" i="11"/>
  <c r="F139" i="11"/>
  <c r="F138" i="11"/>
  <c r="F132" i="11"/>
  <c r="F133" i="11" s="1"/>
  <c r="G129" i="11" s="1"/>
  <c r="F124" i="11"/>
  <c r="F123" i="11"/>
  <c r="F122" i="11"/>
  <c r="F121" i="11"/>
  <c r="F120" i="11"/>
  <c r="F119" i="11"/>
  <c r="F118" i="11"/>
  <c r="F117" i="11"/>
  <c r="F86" i="11"/>
  <c r="F66" i="11"/>
  <c r="F40" i="11"/>
  <c r="F37" i="11"/>
  <c r="F78" i="11" l="1"/>
  <c r="F90" i="11"/>
  <c r="G83" i="11" s="1"/>
  <c r="F67" i="11"/>
  <c r="F140" i="11"/>
  <c r="G135" i="11" s="1"/>
  <c r="F41" i="11"/>
  <c r="F75" i="11"/>
  <c r="F125" i="11"/>
  <c r="G113" i="11" s="1"/>
  <c r="G111" i="11" s="1"/>
  <c r="F76" i="11"/>
  <c r="G127" i="11" l="1"/>
  <c r="G17" i="11" s="1"/>
  <c r="E17" i="10" s="1"/>
  <c r="G16" i="11"/>
  <c r="E16" i="10" s="1"/>
  <c r="G30" i="11"/>
  <c r="G32" i="11"/>
  <c r="F70" i="11"/>
  <c r="G63" i="11" s="1"/>
  <c r="F79" i="11"/>
  <c r="G72" i="11" s="1"/>
  <c r="F297" i="13"/>
  <c r="G293" i="13" s="1"/>
  <c r="G61" i="11" l="1"/>
  <c r="C9" i="13"/>
  <c r="C8" i="11" s="1"/>
  <c r="C10" i="13"/>
  <c r="C9" i="11" s="1"/>
  <c r="C8" i="13"/>
  <c r="C7" i="11" s="1"/>
  <c r="G28" i="11" l="1"/>
  <c r="G15" i="11" s="1"/>
  <c r="G19" i="11" l="1"/>
  <c r="G143" i="11" s="1"/>
  <c r="K143" i="11" s="1"/>
  <c r="E15" i="10"/>
  <c r="F104" i="12"/>
  <c r="F100" i="16"/>
  <c r="H19" i="10"/>
  <c r="F273" i="13"/>
  <c r="F272" i="13"/>
  <c r="F271" i="13"/>
  <c r="F270" i="13"/>
  <c r="F269" i="13"/>
  <c r="F268" i="13"/>
  <c r="F267" i="13"/>
  <c r="F261" i="13"/>
  <c r="F260" i="13"/>
  <c r="F259" i="13"/>
  <c r="F258" i="13"/>
  <c r="E252" i="13"/>
  <c r="F252" i="13" s="1"/>
  <c r="B252" i="13"/>
  <c r="E251" i="13"/>
  <c r="F251" i="13" s="1"/>
  <c r="B251" i="13"/>
  <c r="E250" i="13"/>
  <c r="F250" i="13" s="1"/>
  <c r="B250" i="13"/>
  <c r="E242" i="13"/>
  <c r="F242" i="13" s="1"/>
  <c r="B242" i="13"/>
  <c r="E241" i="13"/>
  <c r="F241" i="13" s="1"/>
  <c r="B241" i="13"/>
  <c r="E240" i="13"/>
  <c r="F240" i="13" s="1"/>
  <c r="B240" i="13"/>
  <c r="E232" i="13"/>
  <c r="F232" i="13" s="1"/>
  <c r="B232" i="13"/>
  <c r="E231" i="13"/>
  <c r="F231" i="13" s="1"/>
  <c r="B231" i="13"/>
  <c r="E230" i="13"/>
  <c r="F230" i="13" s="1"/>
  <c r="B230" i="13"/>
  <c r="E220" i="13"/>
  <c r="F220" i="13" s="1"/>
  <c r="B220" i="13"/>
  <c r="E219" i="13"/>
  <c r="F219" i="13" s="1"/>
  <c r="B219" i="13"/>
  <c r="E218" i="13"/>
  <c r="F218" i="13" s="1"/>
  <c r="B218" i="13"/>
  <c r="E208" i="13"/>
  <c r="F208" i="13" s="1"/>
  <c r="B208" i="13"/>
  <c r="E207" i="13"/>
  <c r="F207" i="13" s="1"/>
  <c r="B207" i="13"/>
  <c r="E206" i="13"/>
  <c r="F206" i="13" s="1"/>
  <c r="B206" i="13"/>
  <c r="E197" i="13"/>
  <c r="F197" i="13" s="1"/>
  <c r="B197" i="13"/>
  <c r="E196" i="13"/>
  <c r="F196" i="13" s="1"/>
  <c r="B196" i="13"/>
  <c r="E195" i="13"/>
  <c r="F195" i="13" s="1"/>
  <c r="B195" i="13"/>
  <c r="E183" i="13"/>
  <c r="F183" i="13" s="1"/>
  <c r="B183" i="13"/>
  <c r="E182" i="13"/>
  <c r="F182" i="13" s="1"/>
  <c r="B182" i="13"/>
  <c r="E181" i="13"/>
  <c r="F181" i="13" s="1"/>
  <c r="B181" i="13"/>
  <c r="B19" i="13"/>
  <c r="B18" i="13"/>
  <c r="B17" i="13"/>
  <c r="B16" i="13"/>
  <c r="C7" i="13"/>
  <c r="C6" i="13"/>
  <c r="G19" i="13"/>
  <c r="D18" i="10" s="1"/>
  <c r="F101" i="16"/>
  <c r="F95" i="12"/>
  <c r="F96" i="12" s="1"/>
  <c r="G92" i="12" s="1"/>
  <c r="E54" i="22"/>
  <c r="E66" i="22" s="1"/>
  <c r="E55" i="22"/>
  <c r="E88" i="22" s="1"/>
  <c r="C18" i="22"/>
  <c r="B18" i="22"/>
  <c r="F37" i="22"/>
  <c r="F38" i="22" s="1"/>
  <c r="G32" i="22" s="1"/>
  <c r="G29" i="22" s="1"/>
  <c r="B17" i="21"/>
  <c r="B16" i="21"/>
  <c r="B15" i="21"/>
  <c r="B14" i="21"/>
  <c r="B17" i="22"/>
  <c r="B16" i="22"/>
  <c r="B15" i="22"/>
  <c r="B14" i="22"/>
  <c r="B17" i="16"/>
  <c r="B16" i="16"/>
  <c r="B15" i="16"/>
  <c r="B14" i="16"/>
  <c r="B16" i="12"/>
  <c r="B15" i="12"/>
  <c r="B14" i="12"/>
  <c r="B13" i="12"/>
  <c r="C9" i="22"/>
  <c r="C8" i="22"/>
  <c r="C7" i="22"/>
  <c r="C6" i="22"/>
  <c r="C5" i="22"/>
  <c r="C4" i="22"/>
  <c r="C58" i="12"/>
  <c r="E35" i="21"/>
  <c r="E68" i="21" s="1"/>
  <c r="E57" i="21"/>
  <c r="F161" i="22"/>
  <c r="F160" i="22"/>
  <c r="F159" i="22"/>
  <c r="F174" i="22"/>
  <c r="F173" i="22"/>
  <c r="F172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26" i="22"/>
  <c r="F125" i="22"/>
  <c r="F124" i="22"/>
  <c r="F117" i="22"/>
  <c r="F116" i="22"/>
  <c r="F118" i="22" s="1"/>
  <c r="G113" i="22" s="1"/>
  <c r="D108" i="22"/>
  <c r="C108" i="22"/>
  <c r="B108" i="22"/>
  <c r="D107" i="22"/>
  <c r="F107" i="22" s="1"/>
  <c r="C107" i="22"/>
  <c r="B107" i="22"/>
  <c r="D97" i="22"/>
  <c r="C97" i="22"/>
  <c r="B97" i="22"/>
  <c r="D96" i="22"/>
  <c r="C96" i="22"/>
  <c r="B96" i="22"/>
  <c r="D88" i="22"/>
  <c r="C88" i="22"/>
  <c r="B88" i="22"/>
  <c r="D87" i="22"/>
  <c r="C87" i="22"/>
  <c r="B87" i="22"/>
  <c r="D77" i="22"/>
  <c r="C77" i="22"/>
  <c r="B77" i="22"/>
  <c r="D76" i="22"/>
  <c r="C76" i="22"/>
  <c r="B76" i="22"/>
  <c r="D67" i="22"/>
  <c r="C67" i="22"/>
  <c r="B67" i="22"/>
  <c r="D66" i="22"/>
  <c r="C66" i="22"/>
  <c r="B66" i="22"/>
  <c r="F83" i="16"/>
  <c r="F84" i="16" s="1"/>
  <c r="G80" i="16" s="1"/>
  <c r="G17" i="22"/>
  <c r="D75" i="16"/>
  <c r="D74" i="16"/>
  <c r="C75" i="16"/>
  <c r="C74" i="16"/>
  <c r="B75" i="16"/>
  <c r="D66" i="16"/>
  <c r="B66" i="16"/>
  <c r="C66" i="16"/>
  <c r="C65" i="16"/>
  <c r="C66" i="12"/>
  <c r="D58" i="12"/>
  <c r="D66" i="12" s="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98" i="21"/>
  <c r="C77" i="21"/>
  <c r="D47" i="21"/>
  <c r="G17" i="16"/>
  <c r="H18" i="10" s="1"/>
  <c r="D65" i="16"/>
  <c r="F184" i="21"/>
  <c r="F185" i="21"/>
  <c r="C57" i="21"/>
  <c r="F196" i="21"/>
  <c r="F195" i="21"/>
  <c r="F194" i="21"/>
  <c r="F183" i="21"/>
  <c r="B88" i="21"/>
  <c r="E78" i="21"/>
  <c r="C78" i="21"/>
  <c r="B77" i="21"/>
  <c r="B68" i="21"/>
  <c r="B57" i="21"/>
  <c r="B47" i="21"/>
  <c r="C9" i="21"/>
  <c r="C8" i="21"/>
  <c r="C7" i="21"/>
  <c r="C6" i="21"/>
  <c r="C5" i="21"/>
  <c r="C4" i="21"/>
  <c r="B74" i="16"/>
  <c r="B65" i="16"/>
  <c r="F40" i="16"/>
  <c r="F105" i="12"/>
  <c r="C5" i="16"/>
  <c r="C6" i="16"/>
  <c r="C7" i="16"/>
  <c r="C8" i="16"/>
  <c r="F89" i="16"/>
  <c r="F90" i="16"/>
  <c r="F91" i="16"/>
  <c r="F92" i="16"/>
  <c r="F109" i="16"/>
  <c r="F110" i="16"/>
  <c r="F111" i="16"/>
  <c r="C8" i="12"/>
  <c r="C7" i="12"/>
  <c r="C6" i="12"/>
  <c r="C5" i="12"/>
  <c r="D78" i="21"/>
  <c r="D57" i="21"/>
  <c r="D68" i="21" s="1"/>
  <c r="F41" i="16"/>
  <c r="E87" i="22"/>
  <c r="F35" i="12"/>
  <c r="F35" i="21"/>
  <c r="F37" i="21" s="1"/>
  <c r="G28" i="21" s="1"/>
  <c r="E88" i="21"/>
  <c r="F54" i="22"/>
  <c r="E96" i="22"/>
  <c r="F96" i="22" s="1"/>
  <c r="E107" i="22"/>
  <c r="G15" i="25" l="1"/>
  <c r="E15" i="25" s="1"/>
  <c r="F68" i="21"/>
  <c r="F70" i="21" s="1"/>
  <c r="D77" i="21"/>
  <c r="D88" i="21" s="1"/>
  <c r="F88" i="21" s="1"/>
  <c r="F90" i="21" s="1"/>
  <c r="G81" i="21" s="1"/>
  <c r="F197" i="21"/>
  <c r="G189" i="21" s="1"/>
  <c r="F112" i="16"/>
  <c r="G104" i="16" s="1"/>
  <c r="F186" i="21"/>
  <c r="G180" i="21" s="1"/>
  <c r="G178" i="21" s="1"/>
  <c r="G16" i="21" s="1"/>
  <c r="F57" i="21"/>
  <c r="F59" i="21" s="1"/>
  <c r="E97" i="22"/>
  <c r="F97" i="22" s="1"/>
  <c r="F78" i="21"/>
  <c r="F176" i="21"/>
  <c r="G95" i="21" s="1"/>
  <c r="G93" i="21" s="1"/>
  <c r="G15" i="21" s="1"/>
  <c r="L18" i="10"/>
  <c r="F93" i="16"/>
  <c r="G86" i="16" s="1"/>
  <c r="G78" i="16" s="1"/>
  <c r="G15" i="16" s="1"/>
  <c r="H16" i="10" s="1"/>
  <c r="F102" i="16"/>
  <c r="G97" i="16" s="1"/>
  <c r="G95" i="16" s="1"/>
  <c r="G16" i="16" s="1"/>
  <c r="H17" i="10" s="1"/>
  <c r="F76" i="22"/>
  <c r="F78" i="22" s="1"/>
  <c r="E77" i="22"/>
  <c r="F77" i="22" s="1"/>
  <c r="F58" i="12"/>
  <c r="F66" i="12"/>
  <c r="E67" i="22"/>
  <c r="F67" i="22" s="1"/>
  <c r="E76" i="22"/>
  <c r="E108" i="22"/>
  <c r="F108" i="22" s="1"/>
  <c r="F109" i="22" s="1"/>
  <c r="G102" i="22" s="1"/>
  <c r="G100" i="22" s="1"/>
  <c r="E47" i="21"/>
  <c r="F47" i="21" s="1"/>
  <c r="F49" i="21" s="1"/>
  <c r="G40" i="21" s="1"/>
  <c r="F162" i="22"/>
  <c r="G156" i="22" s="1"/>
  <c r="F55" i="22"/>
  <c r="F56" i="22" s="1"/>
  <c r="G47" i="22" s="1"/>
  <c r="E77" i="21"/>
  <c r="F77" i="21" s="1"/>
  <c r="F75" i="16"/>
  <c r="F66" i="16"/>
  <c r="F42" i="16"/>
  <c r="G33" i="16" s="1"/>
  <c r="F74" i="16"/>
  <c r="F65" i="16"/>
  <c r="D15" i="10"/>
  <c r="F36" i="12"/>
  <c r="F175" i="22"/>
  <c r="G167" i="22" s="1"/>
  <c r="G165" i="22" s="1"/>
  <c r="G16" i="22" s="1"/>
  <c r="F98" i="22"/>
  <c r="F90" i="12"/>
  <c r="G80" i="12" s="1"/>
  <c r="G69" i="12" s="1"/>
  <c r="F88" i="22"/>
  <c r="F127" i="22"/>
  <c r="G121" i="22" s="1"/>
  <c r="F154" i="22"/>
  <c r="G129" i="22" s="1"/>
  <c r="G111" i="22" s="1"/>
  <c r="G15" i="22" s="1"/>
  <c r="G16" i="10" s="1"/>
  <c r="F66" i="22"/>
  <c r="F87" i="22"/>
  <c r="F262" i="13"/>
  <c r="G257" i="13" s="1"/>
  <c r="G17" i="13"/>
  <c r="D16" i="10" s="1"/>
  <c r="F209" i="13"/>
  <c r="F243" i="13"/>
  <c r="F198" i="13"/>
  <c r="F221" i="13"/>
  <c r="G213" i="13" s="1"/>
  <c r="F106" i="12"/>
  <c r="G101" i="12" s="1"/>
  <c r="G99" i="12" s="1"/>
  <c r="G15" i="12" s="1"/>
  <c r="F17" i="10" s="1"/>
  <c r="G71" i="12"/>
  <c r="F184" i="13"/>
  <c r="F274" i="13"/>
  <c r="G266" i="13" s="1"/>
  <c r="F68" i="22"/>
  <c r="G41" i="22"/>
  <c r="G18" i="22"/>
  <c r="G19" i="10" s="1"/>
  <c r="L19" i="10" s="1"/>
  <c r="F233" i="13"/>
  <c r="F253" i="13"/>
  <c r="G30" i="12" l="1"/>
  <c r="G28" i="12" s="1"/>
  <c r="F79" i="21"/>
  <c r="G61" i="21" s="1"/>
  <c r="G26" i="21" s="1"/>
  <c r="G14" i="21" s="1"/>
  <c r="G18" i="21" s="1"/>
  <c r="G200" i="21" s="1"/>
  <c r="F59" i="12"/>
  <c r="G53" i="12" s="1"/>
  <c r="F89" i="22"/>
  <c r="G80" i="22" s="1"/>
  <c r="F67" i="16"/>
  <c r="G14" i="12"/>
  <c r="F16" i="10" s="1"/>
  <c r="L16" i="10" s="1"/>
  <c r="F76" i="16"/>
  <c r="G18" i="13"/>
  <c r="D17" i="10" s="1"/>
  <c r="L17" i="10" s="1"/>
  <c r="F67" i="12"/>
  <c r="G61" i="12" s="1"/>
  <c r="G59" i="22"/>
  <c r="G190" i="13"/>
  <c r="G225" i="13"/>
  <c r="G51" i="12" l="1"/>
  <c r="G13" i="12" s="1"/>
  <c r="F15" i="10" s="1"/>
  <c r="G45" i="22"/>
  <c r="G178" i="22" s="1"/>
  <c r="G58" i="16"/>
  <c r="G31" i="16" s="1"/>
  <c r="G14" i="22"/>
  <c r="G15" i="10" s="1"/>
  <c r="D20" i="10"/>
  <c r="G19" i="22"/>
  <c r="G180" i="22" s="1"/>
  <c r="G14" i="16" l="1"/>
  <c r="H15" i="10" s="1"/>
  <c r="L15" i="10" s="1"/>
  <c r="L20" i="10" s="1"/>
  <c r="J20" i="13"/>
  <c r="G303" i="13"/>
  <c r="G20" i="10"/>
  <c r="I21" i="10"/>
  <c r="G17" i="12"/>
  <c r="G108" i="12" s="1"/>
  <c r="G18" i="16" l="1"/>
  <c r="G22" i="25" s="1"/>
  <c r="E22" i="25" s="1"/>
  <c r="G20" i="25"/>
  <c r="E20" i="25" s="1"/>
  <c r="J108" i="12"/>
  <c r="E20" i="10"/>
  <c r="G115" i="16" l="1"/>
  <c r="J115" i="16" s="1"/>
  <c r="J13" i="25"/>
  <c r="E21" i="10"/>
  <c r="F20" i="10" l="1"/>
  <c r="H20" i="10"/>
  <c r="J20" i="25" l="1"/>
  <c r="J22" i="25"/>
  <c r="J15" i="25"/>
  <c r="G16" i="25"/>
  <c r="G18" i="25" s="1"/>
  <c r="I15" i="25"/>
  <c r="I22" i="25"/>
  <c r="I27" i="25" s="1"/>
  <c r="I20" i="25"/>
  <c r="G24" i="25" l="1"/>
  <c r="I21" i="25"/>
  <c r="J21" i="25" s="1"/>
  <c r="I25" i="25"/>
  <c r="B26" i="25"/>
  <c r="I26" i="25" l="1"/>
</calcChain>
</file>

<file path=xl/sharedStrings.xml><?xml version="1.0" encoding="utf-8"?>
<sst xmlns="http://schemas.openxmlformats.org/spreadsheetml/2006/main" count="1447" uniqueCount="463">
  <si>
    <t>S/.</t>
  </si>
  <si>
    <t xml:space="preserve"> </t>
  </si>
  <si>
    <t>UND</t>
  </si>
  <si>
    <t>TOTAL</t>
  </si>
  <si>
    <t>SUB TOTAL</t>
  </si>
  <si>
    <t>P.U.</t>
  </si>
  <si>
    <t>GLN</t>
  </si>
  <si>
    <t>ACEITE DE MOTOR</t>
  </si>
  <si>
    <t>PAR</t>
  </si>
  <si>
    <t>GLB</t>
  </si>
  <si>
    <t>COSTO DIRECTO</t>
  </si>
  <si>
    <t>RETRIBUCIONES COMPLEMENTARIAS-CONTRATOS A PLAZO FIJO</t>
  </si>
  <si>
    <t>01</t>
  </si>
  <si>
    <t>JORNAL</t>
  </si>
  <si>
    <t>COSTO</t>
  </si>
  <si>
    <t>02</t>
  </si>
  <si>
    <t>03</t>
  </si>
  <si>
    <t>BENEFICIOS (VACACIONES)</t>
  </si>
  <si>
    <t>65.11.11</t>
  </si>
  <si>
    <t>OBLIGACIONES DEL EMPLEADOR</t>
  </si>
  <si>
    <t>65.11.13</t>
  </si>
  <si>
    <t>GASTOS VARIABLES Y OCASIONALES</t>
  </si>
  <si>
    <t>65.11.23</t>
  </si>
  <si>
    <t>DESCRIPCION</t>
  </si>
  <si>
    <t>CANTIDAD</t>
  </si>
  <si>
    <t>GASOLINA (EQUIPO)</t>
  </si>
  <si>
    <t>GRASA MULTIPROPOSITO</t>
  </si>
  <si>
    <t>PETROLEO (MAQUINARIA)</t>
  </si>
  <si>
    <t>MATERIALES DE CONSTRUCCION</t>
  </si>
  <si>
    <t>UNIDAD</t>
  </si>
  <si>
    <t>CANT.</t>
  </si>
  <si>
    <t>OTROS SERVICIOS</t>
  </si>
  <si>
    <t>65.11.51</t>
  </si>
  <si>
    <t>FTE.FTO</t>
  </si>
  <si>
    <t>CÓDIGO</t>
  </si>
  <si>
    <t>ESPECIFICA DE GASTOS</t>
  </si>
  <si>
    <t>G. GRALES</t>
  </si>
  <si>
    <t>65.11.22</t>
  </si>
  <si>
    <t>VESTUARIO</t>
  </si>
  <si>
    <t>TOTAL GASTOS GENERALES</t>
  </si>
  <si>
    <t>DESAGREGADO  DEL  PRESUPUESTO  ANALÍTICO</t>
  </si>
  <si>
    <t>GASTOS GENERALES</t>
  </si>
  <si>
    <t>DEL EMPLEADO EVENTUAL</t>
  </si>
  <si>
    <t>CARGO</t>
  </si>
  <si>
    <t>N° DE PERSONAS</t>
  </si>
  <si>
    <t>MESES</t>
  </si>
  <si>
    <t>SISTEMA NACIONAL DE PENSIONES (9%)</t>
  </si>
  <si>
    <t>MONTO</t>
  </si>
  <si>
    <t>BENEFICIOS (POR TIEMPO DE SERVICIOS)</t>
  </si>
  <si>
    <t>AGUINALDOS POR ESCOLARIDAD</t>
  </si>
  <si>
    <t>AGUINALDOS POR FIESTAS PATRIAS</t>
  </si>
  <si>
    <t>DESCRIPCIÓN</t>
  </si>
  <si>
    <t>CJA</t>
  </si>
  <si>
    <t>MATERIALES DE ESCRITORIO</t>
  </si>
  <si>
    <t>MLL</t>
  </si>
  <si>
    <t>LIBRETA TOPOGRÁFICA FIELD BOOK</t>
  </si>
  <si>
    <t>ARCHIVADOR DE LOMO ANCHO PARA FORMATO A-4</t>
  </si>
  <si>
    <t>MATERIALES IMPRESIÓN Y FOTOGRÁFICOS</t>
  </si>
  <si>
    <t>PAPEL FOTOCOPIA 80 GR A-4</t>
  </si>
  <si>
    <t>UND.</t>
  </si>
  <si>
    <t>UNIDAD GEST.</t>
  </si>
  <si>
    <t xml:space="preserve">FUNCION </t>
  </si>
  <si>
    <t>PROGRAMA</t>
  </si>
  <si>
    <t>SUB-PROGRAMA</t>
  </si>
  <si>
    <t>RESUMEN  PRESUPUESTO ANALÍTICO - GASTOS GENERALES</t>
  </si>
  <si>
    <t>GASTOS DE SUPERVISION</t>
  </si>
  <si>
    <t>RESUMEN  PRESUPUESTO ANALÍTICO - COSTO DIRECTO</t>
  </si>
  <si>
    <t>UNID.</t>
  </si>
  <si>
    <t>HH</t>
  </si>
  <si>
    <t>TOTAL COSTO DIRECTO</t>
  </si>
  <si>
    <t>OTROS (Liquido de Freno, Anticongelante)</t>
  </si>
  <si>
    <t>TOTAL GASTOS DE SUPERVISION</t>
  </si>
  <si>
    <t>LBS.</t>
  </si>
  <si>
    <t>THONER HP LASERJET 1300</t>
  </si>
  <si>
    <t>ACEITE DE TRANSMISION</t>
  </si>
  <si>
    <t>ACEITE HIDRAULICO</t>
  </si>
  <si>
    <t>MANTENIMIENTO DE EQUIPO Y MAQUINARIA</t>
  </si>
  <si>
    <t>PZA</t>
  </si>
  <si>
    <t>%</t>
  </si>
  <si>
    <t>SEGURO COMPLEMENTARIO DE TRABAJO DE RIESGO (1.55%)</t>
  </si>
  <si>
    <t>CASCOS DE PROTECCION TIPO KW COLORES</t>
  </si>
  <si>
    <t>GUANTES DE CUERO REFORZADO</t>
  </si>
  <si>
    <t>BOTAS DE JEBE</t>
  </si>
  <si>
    <t>O1</t>
  </si>
  <si>
    <t>GUANTES DE JEBE PARA ALBAÑIL</t>
  </si>
  <si>
    <t>FILES</t>
  </si>
  <si>
    <t>FASTENERX50 UND</t>
  </si>
  <si>
    <t>PAPEL CARBON X100 HJAS</t>
  </si>
  <si>
    <t>PLUMON INDELEBLE GRUESO DIFER. COLORES</t>
  </si>
  <si>
    <t>PORTAMINAS</t>
  </si>
  <si>
    <t>REPUESTOS PARA PORTAMINAS</t>
  </si>
  <si>
    <t>CD RW REGRABABLES</t>
  </si>
  <si>
    <t>PEGAMENTO EN BARRA</t>
  </si>
  <si>
    <t>RESALTADOR</t>
  </si>
  <si>
    <t>CORRECTOR</t>
  </si>
  <si>
    <t>LIBRETA DE CAMPO</t>
  </si>
  <si>
    <t>BORRADOR BR40</t>
  </si>
  <si>
    <t>ESPIRALES DE 7 MM</t>
  </si>
  <si>
    <t>ANILLOS DE 5/8"</t>
  </si>
  <si>
    <t>LAPICERO AZUL/NEGRO 033 FABER CASTELL</t>
  </si>
  <si>
    <t>POST IT CUADRADO COLORES</t>
  </si>
  <si>
    <t>CASCOS DE PROTECCION TIPO KW COLOR BLANCO</t>
  </si>
  <si>
    <t>65.11.18</t>
  </si>
  <si>
    <t>ESCOLARIDAD, AGUINALDOS Y GRATIFICACIONES</t>
  </si>
  <si>
    <t>PROYECTO</t>
  </si>
  <si>
    <t>CINTA TEFLON</t>
  </si>
  <si>
    <t>CAMARA DIGITAL</t>
  </si>
  <si>
    <t>CD R</t>
  </si>
  <si>
    <t>BOTAS DE CUERO  CAT</t>
  </si>
  <si>
    <t>CINTA MASKING 2"</t>
  </si>
  <si>
    <t>LAPICERO AZUL/NEGRO 031 FABER CASTELL</t>
  </si>
  <si>
    <t>COSTO TOTAL</t>
  </si>
  <si>
    <t>AGUINALDO POR NAVIDAD</t>
  </si>
  <si>
    <t>RESUMEN  GENERAL DEL PRESUPUESTO ANALÍTICO</t>
  </si>
  <si>
    <t>COMPUTADORA PORTATIL LAPTOP</t>
  </si>
  <si>
    <t>MEMORIAS USB 4 GB</t>
  </si>
  <si>
    <t>MEMORIA USB 2 GB</t>
  </si>
  <si>
    <t>EQUIPAMIENTO Y BIENES DURADEROS</t>
  </si>
  <si>
    <t>OTROS SERVICIOS DE TERCEROS</t>
  </si>
  <si>
    <t>BIENES DE CONSUMO</t>
  </si>
  <si>
    <t>COMBUSTIBLE Y LUBRICANTES</t>
  </si>
  <si>
    <t>IMPRESIÓN DE PLANOS</t>
  </si>
  <si>
    <t>ESSALUD (9%)</t>
  </si>
  <si>
    <t>AGUINALDOS POR FIESTAS PATRIAS Y NAVIDAD</t>
  </si>
  <si>
    <t>VACACIONES TRUNCAS</t>
  </si>
  <si>
    <t>BENEFICIOS (COMPENSACION POR TIEMPO DE SERVICIOS)</t>
  </si>
  <si>
    <t>RESUMEN  PRESUPUESTO ANALITICO - LIQUIDACION DE OBRA</t>
  </si>
  <si>
    <t>COSTO CONSTRUCCION POR ADMINISTRACION DIRECTA - PERSONAL</t>
  </si>
  <si>
    <t>COSTO CONSTRUCCION POR ADMINISTRACION DIRECTA - BIENES</t>
  </si>
  <si>
    <t>COSTO CONSTRUCCION POR ADMINISTRACION DIRECTA - SERVICIOS</t>
  </si>
  <si>
    <t>COSTO CONSTRUCCION POR ADMINISTRACION DIRECTA - OTROS</t>
  </si>
  <si>
    <t>kg</t>
  </si>
  <si>
    <t>pza</t>
  </si>
  <si>
    <t>C. DIRECTO</t>
  </si>
  <si>
    <t>ELAB. DE EXPEDIENTE TECNICO</t>
  </si>
  <si>
    <t>GASTOS DE LIQUIDACION</t>
  </si>
  <si>
    <t>bls</t>
  </si>
  <si>
    <t>TOTAL GASTOS DE LIQUIDACION</t>
  </si>
  <si>
    <t xml:space="preserve">GASOLINA 84 OCT </t>
  </si>
  <si>
    <t>PETROLEO DIESEL 2</t>
  </si>
  <si>
    <t>ALQUILER DE CAMIONETA</t>
  </si>
  <si>
    <t>und</t>
  </si>
  <si>
    <t>gln</t>
  </si>
  <si>
    <t>HIPOCLORITO DE CALCIO AL 30%</t>
  </si>
  <si>
    <t>PETROLEO</t>
  </si>
  <si>
    <t>ADAPTADOR  UPR  PVC DE  1/2"</t>
  </si>
  <si>
    <t>VALVULA BOLA P/JARDIN 1/2"</t>
  </si>
  <si>
    <t>NIPLE FºGº 1/2"X3"</t>
  </si>
  <si>
    <t>RESUMEN  PRESUPUESTO ANALITICO - CAPACITACION SOCIAL</t>
  </si>
  <si>
    <t>PROMOTOR</t>
  </si>
  <si>
    <t>PAPEL BOND A4 80 GRAMOS</t>
  </si>
  <si>
    <t>MIL</t>
  </si>
  <si>
    <t>DIA</t>
  </si>
  <si>
    <t>PLUMONES GRUESOS</t>
  </si>
  <si>
    <t>CINTA MASKING</t>
  </si>
  <si>
    <t>TIJERA</t>
  </si>
  <si>
    <t>KUTER</t>
  </si>
  <si>
    <t>RAFIA</t>
  </si>
  <si>
    <t>rll</t>
  </si>
  <si>
    <t>AFICHES (3X FAMILIA)</t>
  </si>
  <si>
    <t>GLOBOS MEDIANOS</t>
  </si>
  <si>
    <t>GORROS</t>
  </si>
  <si>
    <t>POLOS</t>
  </si>
  <si>
    <t>COMPARADOR DE CLORO RESIDUAL</t>
  </si>
  <si>
    <t>PASTILLAS DPD</t>
  </si>
  <si>
    <t>PREMIOS PARA LA COMUNIDAD</t>
  </si>
  <si>
    <t>PREMIOS PARA EL C.E</t>
  </si>
  <si>
    <t>CAJA DE HERRAMIENTAS</t>
  </si>
  <si>
    <t>PAPEL CRAFF</t>
  </si>
  <si>
    <t>COPIA EXPEDIENTE SOCIAL</t>
  </si>
  <si>
    <t>MANUALES DE  CAPACITACIÓN Nº 01</t>
  </si>
  <si>
    <t>MANUALES DE  CAPACITACIÓN Nº 02</t>
  </si>
  <si>
    <t>MANUALES DE  CAPACITACIÓN Nº 03</t>
  </si>
  <si>
    <t>MANUALES DE  CAPACITACIÓN Nº 05</t>
  </si>
  <si>
    <t>MANUALES DE  CAPACITACIÓN Nº 06</t>
  </si>
  <si>
    <t>MANUALES DE  CAPACITACIÓN Nº 07</t>
  </si>
  <si>
    <t>MANUALES DE  CAPACITACIÓN Nº 08</t>
  </si>
  <si>
    <t>MANUALES DE  CAPACITACIÓN Nº 09</t>
  </si>
  <si>
    <t>LUDO FAMILIAR</t>
  </si>
  <si>
    <t>ROMPECABEZAS</t>
  </si>
  <si>
    <t>AFICHES DE AUTOEVALUACION</t>
  </si>
  <si>
    <t>MANUAL ROTAFOLIO</t>
  </si>
  <si>
    <t>BOLSAS DE POLISEDA</t>
  </si>
  <si>
    <t>VASITOS PLASTICOS</t>
  </si>
  <si>
    <t>2.6.2.3.5.3 REMUNERACIONES</t>
  </si>
  <si>
    <t>2.6.2.3.5.4 BIENES</t>
  </si>
  <si>
    <t>2.6.2.3.5.5 SERVICIOS</t>
  </si>
  <si>
    <t>G. SUP</t>
  </si>
  <si>
    <t>.</t>
  </si>
  <si>
    <t>G. LIQUID</t>
  </si>
  <si>
    <t>G. CAPAC SOC</t>
  </si>
  <si>
    <t>MATERIALES PARA CAPACITACION</t>
  </si>
  <si>
    <t>THONER PARA IMPRESORA</t>
  </si>
  <si>
    <t>TABLERO DE PLASTICO</t>
  </si>
  <si>
    <t>CHALECO DE TELA</t>
  </si>
  <si>
    <t>MICA A4</t>
  </si>
  <si>
    <t>ARCHIVADORES LOMO ANCHO-OFICIO</t>
  </si>
  <si>
    <t>FASTENER P/FILE CAJA X 50 UND. "WINGO"</t>
  </si>
  <si>
    <t>LAPIZ NEGRO</t>
  </si>
  <si>
    <t>SOBRE MANILA GRANDE</t>
  </si>
  <si>
    <t>FOLDER MANILA.</t>
  </si>
  <si>
    <t>COMBUSTIBLE</t>
  </si>
  <si>
    <t>PILA PARA LINTERNA</t>
  </si>
  <si>
    <t>LAPICEROS</t>
  </si>
  <si>
    <t>ESPIRAL X 100 HOJAS</t>
  </si>
  <si>
    <t>PAPEL CARTULINA</t>
  </si>
  <si>
    <t>CUADERNO TAMAÑO OFICION 100HOJAS</t>
  </si>
  <si>
    <t>ANILLADO FORMATOS SID</t>
  </si>
  <si>
    <t>CODO F° GALV. DE 1/2" X 90°</t>
  </si>
  <si>
    <t>UNION SIMPLE DE F° GALV. DE 1/2"</t>
  </si>
  <si>
    <t>TUB. PVC SAP PRESION C-10 EC DE 1/2" x5m</t>
  </si>
  <si>
    <t>TUB. PVC SAP PRESION C-10 R. 3/4" x 5m</t>
  </si>
  <si>
    <t>UNION UNIVERSAL PVC SAP DE 1/2"</t>
  </si>
  <si>
    <t>TEE PVC SAP 3/4"</t>
  </si>
  <si>
    <t>REDUCCION PVC SAP 3/4" A 1/2"</t>
  </si>
  <si>
    <t>CODO PVC SAP 1/2" X 90°</t>
  </si>
  <si>
    <t>ALIMENTACIÓN</t>
  </si>
  <si>
    <t>COPIA DE FORMATOS SID</t>
  </si>
  <si>
    <t>COPIA DE FORMATOS</t>
  </si>
  <si>
    <t>VALVULA ESFERICA 1/2"</t>
  </si>
  <si>
    <t>LINTERNA</t>
  </si>
  <si>
    <t>PRIMER PREMIO</t>
  </si>
  <si>
    <t>SEGUNDO  PREMIO</t>
  </si>
  <si>
    <t>TERCER PREMIO</t>
  </si>
  <si>
    <t>PAPEL LUSTRE</t>
  </si>
  <si>
    <t>PAPEL SEDITA</t>
  </si>
  <si>
    <t>MANUALES DE  CAPACITACIÓN Nº 04</t>
  </si>
  <si>
    <t xml:space="preserve">MANUALES DE  CAPACITACIÓN Nº 10 </t>
  </si>
  <si>
    <t>MANUALES DE  CAPACITACIÓN Nº 11</t>
  </si>
  <si>
    <t>PEGAMENTO UHU</t>
  </si>
  <si>
    <t>CINTA DE EMBALAJE</t>
  </si>
  <si>
    <t>ZAPATOS DE CUERO</t>
  </si>
  <si>
    <t>PONCHO DE AGUA.</t>
  </si>
  <si>
    <t>COPIA GUIA DE INTERVENCION.</t>
  </si>
  <si>
    <t>ALQUILER CAMIONETA</t>
  </si>
  <si>
    <t>ALOJAMIENTO</t>
  </si>
  <si>
    <t>TRASLADO</t>
  </si>
  <si>
    <t>GASTOS DE CAPACITACION SOCIAL</t>
  </si>
  <si>
    <t>TOTAL GASTOS DE CAPACITACION</t>
  </si>
  <si>
    <t>TOTAL GASTOS DE CAPACITACION SOCIAL</t>
  </si>
  <si>
    <t>ASISTENTE ADMINISTRATIVO 2</t>
  </si>
  <si>
    <t>INSPECTOR DE OBRA 2</t>
  </si>
  <si>
    <t>LIQUIDADOR FINANCIERO</t>
  </si>
  <si>
    <t>LIQUIDADOR TECNICO</t>
  </si>
  <si>
    <t>MONTO DE LA OBRA S/.</t>
  </si>
  <si>
    <t>0 - 500,000</t>
  </si>
  <si>
    <t>TIEMPO LIQUIDACION</t>
  </si>
  <si>
    <t>15 DIAS</t>
  </si>
  <si>
    <t>500,000 - 1'000,000</t>
  </si>
  <si>
    <t>45 DIAS</t>
  </si>
  <si>
    <t>&gt; 1'000,000</t>
  </si>
  <si>
    <t>45 - 60 DIAS</t>
  </si>
  <si>
    <t>ITEM</t>
  </si>
  <si>
    <t>SERVICIO DE FOTOCOPIAS</t>
  </si>
  <si>
    <t>RESUMEN  PRESUPUESTO ANALITICO - GASTOS DE EXPEDIENTE TECNICO</t>
  </si>
  <si>
    <t>GASTOS DE EXPEDIENTE TECNICO</t>
  </si>
  <si>
    <t>TOTAL GASTOS DE EXPEDIENTE TECNICO</t>
  </si>
  <si>
    <t>SUPERVISION DE EXPEDIENTE TECNICO</t>
  </si>
  <si>
    <t>GASTOS DE SUPERVISION DE EXPEDIENTE TECNICO</t>
  </si>
  <si>
    <t>glb</t>
  </si>
  <si>
    <t>2.6.2.2.2.4</t>
  </si>
  <si>
    <t>2.6.2.2.2.5</t>
  </si>
  <si>
    <t>2.6.2.2.2.6</t>
  </si>
  <si>
    <t>MAQUINARIA Y EQUIPO</t>
  </si>
  <si>
    <t>SERVICIOS DE CONSULTORIA</t>
  </si>
  <si>
    <t>2.6.2.2.2.7</t>
  </si>
  <si>
    <t>2.6.8.1.3.1  ELABORACION DE EXPEDIENTE TECNICO</t>
  </si>
  <si>
    <t>2.6.8.1.3.1</t>
  </si>
  <si>
    <t>ELABORACION DE EXPEDIENTE TECNICO</t>
  </si>
  <si>
    <t>G. ET</t>
  </si>
  <si>
    <t>:</t>
  </si>
  <si>
    <t xml:space="preserve">ALMACENERO </t>
  </si>
  <si>
    <t>UTILIDAD</t>
  </si>
  <si>
    <t>IMPRESIÓNES</t>
  </si>
  <si>
    <t>CAJA</t>
  </si>
  <si>
    <t>GBL</t>
  </si>
  <si>
    <t>Monto Presupuestado</t>
  </si>
  <si>
    <t>MONTO DEL COSTO DIRECTO DEL PRESUPUESTO BASE:</t>
  </si>
  <si>
    <t>Resúmen de  Análisis de Costos</t>
  </si>
  <si>
    <t>CP</t>
  </si>
  <si>
    <t>GG</t>
  </si>
  <si>
    <t>S_T</t>
  </si>
  <si>
    <t>PRESUPUESTO BASE</t>
  </si>
  <si>
    <t>MOBILIARIO Y EQUIPAMIENTO</t>
  </si>
  <si>
    <t>MITIGACION AMBIENTAL</t>
  </si>
  <si>
    <t>FOTOCOPIAS</t>
  </si>
  <si>
    <t>RESUMEN  PRESUPUESTO ANALITICO - SUPERVISIÓN</t>
  </si>
  <si>
    <t>CUADERNO DE OBRA 1X3 AUTOCOPIAS X 100 HOJAS</t>
  </si>
  <si>
    <t>PAPEL BOND 80 GR A-4 DE COLORES</t>
  </si>
  <si>
    <t>CIENTO</t>
  </si>
  <si>
    <t>GASTOS DE SUPEVISION</t>
  </si>
  <si>
    <t>CHALECO</t>
  </si>
  <si>
    <t>MASCARILLAS CONTRA EL POLVO DE UN FILTRO</t>
  </si>
  <si>
    <t>EXPEDIENTE TECNICO</t>
  </si>
  <si>
    <t xml:space="preserve">IMPRESIÓN </t>
  </si>
  <si>
    <t>PRESUPUESTO TOTAL</t>
  </si>
  <si>
    <t>LEGALIZACION DE DOCUMENTOS</t>
  </si>
  <si>
    <t xml:space="preserve">THONER </t>
  </si>
  <si>
    <t xml:space="preserve"> “ADQUISICIÓN DE TERRENO; EN EL(LA) I.E. LA SALLE - ABANCAY DISTRITO DE ABANCAY, PROVINCIA ABANCAY, DEPARTAMENTO APURÍMAC "</t>
  </si>
  <si>
    <t>SELLOS</t>
  </si>
  <si>
    <t>OFICIAL</t>
  </si>
  <si>
    <t>RESUMEN DEL PRESUPUESTO</t>
  </si>
  <si>
    <t>RESIDENTE DE PROYECTO (ING. CIVIL, ARQUITECTO)</t>
  </si>
  <si>
    <t>PROFESIONAL PARA REQUERIMIENTO DE EQUIPAMIENTO</t>
  </si>
  <si>
    <t>FOLDER MANILA TAMAÑO A4</t>
  </si>
  <si>
    <t xml:space="preserve">PAPEL BOND 75 GR A-4 </t>
  </si>
  <si>
    <t>MILLAR</t>
  </si>
  <si>
    <t xml:space="preserve">GASTOS GENERALES </t>
  </si>
  <si>
    <t>SUPERVISOR (ING. CIVIL, ARQUITECTO)</t>
  </si>
  <si>
    <t>PAPEL FOTOCOPIA 75 GR A-4</t>
  </si>
  <si>
    <t xml:space="preserve">GASTOS DE SUPERVISION </t>
  </si>
  <si>
    <t>GASTOS  DE LIQUIDACION</t>
  </si>
  <si>
    <t>MANO DE OBRA</t>
  </si>
  <si>
    <t>OPERARIO</t>
  </si>
  <si>
    <t>PEON</t>
  </si>
  <si>
    <t>MATERIALES</t>
  </si>
  <si>
    <t>PLANCHA DE FIBROCEMENTO E=6MM.</t>
  </si>
  <si>
    <t>TORNILLO AUTOROSCANTE 6X32MM</t>
  </si>
  <si>
    <t>TORNILLO WAFER (P.FINA) 8X32MM.</t>
  </si>
  <si>
    <t>TORNILLO AUTOROSCANTE 32MM CABEZA PLANA</t>
  </si>
  <si>
    <t>TORNILLO DE FIJACION DE 6X25MM</t>
  </si>
  <si>
    <t>CINTA DE FIBRA DE VIDRIO</t>
  </si>
  <si>
    <t>RLL</t>
  </si>
  <si>
    <t>MASILLA PARA DRYWALL</t>
  </si>
  <si>
    <t>ESQUINERO ANGULO METALICO 30X30X0.40MM.X3.00M.</t>
  </si>
  <si>
    <t>PARANTE METALICO 89X89X0.9MM. L=3.00M</t>
  </si>
  <si>
    <t>RIEL METALICO PU 90X32X0.9MM. L=3.00M</t>
  </si>
  <si>
    <t>FULMINANTE MARRON</t>
  </si>
  <si>
    <t>M3</t>
  </si>
  <si>
    <t>CLAVO PARA MADERA C/C 3"</t>
  </si>
  <si>
    <t>KG</t>
  </si>
  <si>
    <t>CEMENTO PORTLAND TIPO I (42.5KG)</t>
  </si>
  <si>
    <t>BLS</t>
  </si>
  <si>
    <t>REGLA DE MADERA</t>
  </si>
  <si>
    <t>P2</t>
  </si>
  <si>
    <t>MADERA TORNILLO</t>
  </si>
  <si>
    <t>CERAMICA DE 30 x 30cm</t>
  </si>
  <si>
    <t>M2</t>
  </si>
  <si>
    <t>PORCELANA</t>
  </si>
  <si>
    <t>DETERGENTE EL POLVO</t>
  </si>
  <si>
    <t>DESINFECTANTE DE CERÁMICO</t>
  </si>
  <si>
    <t>LTS</t>
  </si>
  <si>
    <t>PEGAMENTO PARA PISOS SINTETICOS</t>
  </si>
  <si>
    <t>PISO DE VINILICO E=2MM</t>
  </si>
  <si>
    <t>COVE FORMER</t>
  </si>
  <si>
    <t>VINILICO FLEXIBLE H=0.10M</t>
  </si>
  <si>
    <t>M</t>
  </si>
  <si>
    <t>ML</t>
  </si>
  <si>
    <t>BISAGRA DE ACERO DE 3" X 4"</t>
  </si>
  <si>
    <t>CERRADURA PERILLA SEGUREX INT.LATON MATE</t>
  </si>
  <si>
    <t>EMPASTE</t>
  </si>
  <si>
    <t>BOL</t>
  </si>
  <si>
    <t>LIJA PARA MADERA</t>
  </si>
  <si>
    <t>SELLADOR PARA TARRAJEO</t>
  </si>
  <si>
    <t>THINER ACRILICO</t>
  </si>
  <si>
    <t xml:space="preserve">PINTURA VINÍLICA ANTIBACTERIAL </t>
  </si>
  <si>
    <t>PINTURA OLEO</t>
  </si>
  <si>
    <t>GAL</t>
  </si>
  <si>
    <t>PINTURA LATEX</t>
  </si>
  <si>
    <t>IMPRIMANTE</t>
  </si>
  <si>
    <t>PINTURA ESMALTE</t>
  </si>
  <si>
    <t>UNION UNIVERSAL D=1/2" FIERRO GALVANIZADO</t>
  </si>
  <si>
    <t>NIPLE DE F°G° DE 1/2"x1 1/2"</t>
  </si>
  <si>
    <t>VÁLVULA COMPUERTA DE BRONCE DE 1/2"</t>
  </si>
  <si>
    <t>CABLE ELECTRICO NH-80 DE 2.5 MM.</t>
  </si>
  <si>
    <t xml:space="preserve">PEGAMENTO PARA TUBERIA DE PVC </t>
  </si>
  <si>
    <t>CINTA AISLANTE ELÉCTRICA</t>
  </si>
  <si>
    <t>CAJA DE PASE RECTANGULAR F°G° PESADA 100 X 55 X 50 MM.</t>
  </si>
  <si>
    <t>TUBERIA DE PVC-P PARA ELECTRICA NTP 399.006 Ø 20 MM. x 3.00 M.</t>
  </si>
  <si>
    <t xml:space="preserve">CONECTOR DE PVC-P PARA ELECTRICA NTP 399.006 Ø 20 MM. </t>
  </si>
  <si>
    <t>CURVA DE PVC-P PARA ELECTRICA NTP 399.006 Ø 20 MM.</t>
  </si>
  <si>
    <t xml:space="preserve">UNION DE PVC-P PARA ELECTRICA NTP 399.006 Ø 20 MM. </t>
  </si>
  <si>
    <t>INTERRUPTOR SIMPLE</t>
  </si>
  <si>
    <t>CABLE ELECTRICO NH-80 DE 4MM.</t>
  </si>
  <si>
    <t>TOMACORRIENTE DOBLE CON TOMA A TIERRA</t>
  </si>
  <si>
    <t>RIELES DE PARED PARA CABLE ELÉCTRICO</t>
  </si>
  <si>
    <t>SPOT LIGHT ADOSADO 2 LAMPARAS AHORRADORAS</t>
  </si>
  <si>
    <t xml:space="preserve">TERMINALES DE CU DE COMPRESION P/CABLE DE HASTA 185MM2 </t>
  </si>
  <si>
    <t>INTERRUPTOR TERMOMAGNETICO DE 2 POLOS 15 A</t>
  </si>
  <si>
    <t>INTERRUPTOR DIFERENCIAL 2X25 A - 30 m A</t>
  </si>
  <si>
    <t>PLACA ACRÍLICA PARA IDENTIFICACIÓN</t>
  </si>
  <si>
    <t>TABLERO ELÉCTRICO TN-A02</t>
  </si>
  <si>
    <t>TIERRA DE CULTIVO</t>
  </si>
  <si>
    <t>DOSIS DE SALES ELECTROLITICA</t>
  </si>
  <si>
    <t>CJTO</t>
  </si>
  <si>
    <t xml:space="preserve">CAJA DE REGISTRO DE CONCRETO DE 400x400x300MM </t>
  </si>
  <si>
    <t xml:space="preserve">CONECTOR BARRA DE 3/4"ø </t>
  </si>
  <si>
    <t>ELECTRODO DE COBRE DURO DE 3/4" x 2.40 M</t>
  </si>
  <si>
    <t>CARBON VEGETAL</t>
  </si>
  <si>
    <t>EQUIPOS</t>
  </si>
  <si>
    <t>HERRAMIENTAS MANUALES</t>
  </si>
  <si>
    <t>%MO</t>
  </si>
  <si>
    <t>VOLQUETE 6X4 330HP 15M3</t>
  </si>
  <si>
    <t>HM</t>
  </si>
  <si>
    <t>ANDAMIO METALICO</t>
  </si>
  <si>
    <t>SUBCONTRATOS</t>
  </si>
  <si>
    <t>FLETE TERRESTRE</t>
  </si>
  <si>
    <t>CONCRETO PREMEZCLADO F'C=175 KG/CM2</t>
  </si>
  <si>
    <t>PUERTA DE MADERA CONTRAPLACADA C/MARCO UNA HOJA</t>
  </si>
  <si>
    <t>LAVAMANO DE PARED A PEDAL (INC. GRIFO + ACCESORIOS)</t>
  </si>
  <si>
    <t>REPARACIÓN DE ACCESORIOS SANITARIOS</t>
  </si>
  <si>
    <t>EQUIPOS MÉDICOS</t>
  </si>
  <si>
    <t>MONITOR DE FUNCIONES VITALES DE 05 PARÁMETROS</t>
  </si>
  <si>
    <t>ASPIRADOR DE SECRECIONES RODABLE</t>
  </si>
  <si>
    <t>BOMBA DE INFUSIÓN DE DOS CANALES</t>
  </si>
  <si>
    <t>OXÍMETRO DE PULSO</t>
  </si>
  <si>
    <t>NEBULIZADOR</t>
  </si>
  <si>
    <t>CAMARA DE AISLAMIENTO Y TRANSPORTE</t>
  </si>
  <si>
    <t>BALANZA MECÁNICA CON TALLIMETRO ADULTO</t>
  </si>
  <si>
    <t>PULSIOXÍMETRO PORTATIL</t>
  </si>
  <si>
    <t>ANALIZADOR AUTOMÁTICO DE GASES ARTERIALES Y ELECTROLITOS</t>
  </si>
  <si>
    <t>ANALIZADOR BIOQUÍMICO SEMI AUTOMÁTICO</t>
  </si>
  <si>
    <t>CONCENTRADOR DE OXÍGENO</t>
  </si>
  <si>
    <t>CAMA CLÍNICA RODABLE</t>
  </si>
  <si>
    <t>MESA DE ACERO INOXIDABLE RODABLE PARA MÚLTIPLES USOS</t>
  </si>
  <si>
    <t>MESA (DIVAN) PARA EXAMENES Y CURACIONES</t>
  </si>
  <si>
    <t xml:space="preserve">VITRINA DE ACERO INOXIDABLE PARA INSTRUMENTAL Y MATERIAL ESTERIL DE UN CUERPO </t>
  </si>
  <si>
    <t>REMUNERACIÓN BÁSICA</t>
  </si>
  <si>
    <t>SNP - SPP (13%)</t>
  </si>
  <si>
    <t>IMP. A LA RENTA (5TA CATEG.)</t>
  </si>
  <si>
    <t>SEGURO COMPLEMENTARIO DE TRABAJO DE RIESGO (3.05%)</t>
  </si>
  <si>
    <t>MASCARILLAS PARA COVID -19</t>
  </si>
  <si>
    <t>AUXILIAR ADMINISTRATIVO</t>
  </si>
  <si>
    <t>VESTUARIO PERSONAL TÉCNICO</t>
  </si>
  <si>
    <t>ZAPATOS DE CUERO CON PUNTA DE ACERO</t>
  </si>
  <si>
    <t>UNIFORME COMPLETO</t>
  </si>
  <si>
    <t>GUANTES DE CUERO</t>
  </si>
  <si>
    <t>CASCOS DE SEGURIDAD</t>
  </si>
  <si>
    <t>CHALECOS REFLECTIVOS</t>
  </si>
  <si>
    <t>LENTES DE PROTECCION</t>
  </si>
  <si>
    <t>YESO BOLSA 25 KG</t>
  </si>
  <si>
    <t>HORMIGON</t>
  </si>
  <si>
    <t>BASE NIVELADORA BLANCO DE 5 Kg</t>
  </si>
  <si>
    <t>PRIMER DE 1 Lts</t>
  </si>
  <si>
    <t>SELLADOR PARA PISO</t>
  </si>
  <si>
    <t>MICROCEMENTO DE 5 Kg</t>
  </si>
  <si>
    <t>DESINFECTANTE DE MADERA</t>
  </si>
  <si>
    <t>SELLADOR DE MADERA</t>
  </si>
  <si>
    <t>DESINFECTANTE DE VENTANAS</t>
  </si>
  <si>
    <t>CERRADURA PARA PUERTAS TRES GOLPES</t>
  </si>
  <si>
    <t>TUBO PVC SAP 1/2" C-10, 5m</t>
  </si>
  <si>
    <t>CODO PVC AGUA ROSCADA 1/2"X90</t>
  </si>
  <si>
    <t>PZ</t>
  </si>
  <si>
    <t>PEGAMENTO PVC</t>
  </si>
  <si>
    <t>TEE PVC AGUA S.PRESION 0 1/2"</t>
  </si>
  <si>
    <t>TUBO PVC DESAGUE SAL 4"X3M</t>
  </si>
  <si>
    <t>CODO PVC SAL DESAGUE 90x4"</t>
  </si>
  <si>
    <t>TRAMPA "P" (SAL) ° 4"</t>
  </si>
  <si>
    <t>YEE PVC DESAGUE SAL 4"</t>
  </si>
  <si>
    <t>TUBO PVC DESAGUE SAL 2"X3M</t>
  </si>
  <si>
    <t>CODO PVC SAL DESAGUE DE 90X2"</t>
  </si>
  <si>
    <t>TRAMPA "P" 1 1/2" PARA DESAGUE</t>
  </si>
  <si>
    <t>SUMIDERO DE BRONCE DE 2"</t>
  </si>
  <si>
    <t>YEE c/REDUCC. 4"x2" PARA DESAGÜE</t>
  </si>
  <si>
    <t>LAVAMANOS DE CERAMICA VITRIFICADA TIPO OVALIN SOBRE PLANCHA DE CONCRETO</t>
  </si>
  <si>
    <t xml:space="preserve">INODORO DE CERAMICA O LOZA VITRIFICADA DE TANQUE BAJO </t>
  </si>
  <si>
    <t xml:space="preserve">URINARIO INDIVIDUAL DE CERAMICA O LOZA VITRIFICADA </t>
  </si>
  <si>
    <t>MEZCLADORA DE CONCRETO 8 HP 9 P3</t>
  </si>
  <si>
    <t>MEJORAMIENTO DE VEREDAS Y ACCESOS</t>
  </si>
  <si>
    <t>PUERTA TABLERO REBAJADO C/MARCO DOS HOJAS</t>
  </si>
  <si>
    <t>PROYECTO: "ADQUISICION DE MONITOR MULTI PARAMETRO, CAMA CLINICA RODABLE, ASPIRADOR DE SECRECIONES Y PULSIOXIMETRO; ADEMÁS DE OTROS ACTIVOS EN EL(LA) EESS HUACCANA - HUACCANA DISTRITO DE HUACCANA, PROVINCIA CHINCHEROS, DEPARTAMENTO APURIMAC"</t>
  </si>
  <si>
    <r>
      <rPr>
        <b/>
        <sz val="12"/>
        <rFont val="Swis721 BT"/>
        <family val="2"/>
      </rPr>
      <t xml:space="preserve">LUGAR :  </t>
    </r>
    <r>
      <rPr>
        <sz val="10"/>
        <rFont val="Swis721 BT"/>
        <family val="2"/>
      </rPr>
      <t>DEPARTAMENTO:   APURÍMAC ,  PROVINCIA:   CHINCHEROS,    DISTRITO:   HUACCANA</t>
    </r>
  </si>
  <si>
    <r>
      <rPr>
        <b/>
        <sz val="12"/>
        <rFont val="Swis721 BT"/>
        <family val="2"/>
      </rPr>
      <t>MODALIDAD:</t>
    </r>
    <r>
      <rPr>
        <sz val="14"/>
        <rFont val="Swis721 BT"/>
        <family val="2"/>
      </rPr>
      <t xml:space="preserve"> </t>
    </r>
    <r>
      <rPr>
        <sz val="10"/>
        <rFont val="Swis721 BT"/>
        <family val="2"/>
      </rPr>
      <t xml:space="preserve">   ADMINISTRACION DIRECTA.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</si>
</sst>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(* #,##0.00_);_(* \(#,##0.00\);_(* &quot;-&quot;??_);_(@_)"/>
    <numFmt numFmtId="165" formatCode="_-&quot;$&quot;* #,##0.00_-;\-&quot;$&quot;* #,##0.00_-;_-&quot;$&quot;* &quot;-&quot;??_-;_-@_-"/>
    <numFmt numFmtId="166" formatCode="General_)"/>
    <numFmt numFmtId="167" formatCode="0.00_)"/>
    <numFmt numFmtId="168" formatCode="#,##0.00;[Red]#,##0.00"/>
    <numFmt numFmtId="169" formatCode="#,##0.0000"/>
    <numFmt numFmtId="170" formatCode="#,##0.00_);\-#,##0.00"/>
    <numFmt numFmtId="171" formatCode="0.000%"/>
    <numFmt numFmtId="172" formatCode="&quot;S/.&quot;\ #,##0.00"/>
    <numFmt numFmtId="173" formatCode="0.0000000000"/>
    <numFmt numFmtId="174" formatCode="&quot;S/&quot;\ #,##0.00"/>
    <numFmt numFmtId="175" formatCode="#,##0.000"/>
    <numFmt numFmtId="176" formatCode="&quot;S/&quot;#,##0.00"/>
    <numFmt numFmtId="177" formatCode="0.000000000%"/>
  </numFmts>
  <fonts count="78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ntique Olive"/>
      <family val="2"/>
    </font>
    <font>
      <b/>
      <sz val="11"/>
      <name val="Antique Olive"/>
      <family val="2"/>
    </font>
    <font>
      <sz val="11"/>
      <name val="Antique Olive"/>
      <family val="2"/>
    </font>
    <font>
      <b/>
      <sz val="10"/>
      <name val="Antique Olive"/>
      <family val="2"/>
    </font>
    <font>
      <sz val="12"/>
      <name val="Antique Olive"/>
      <family val="2"/>
    </font>
    <font>
      <b/>
      <sz val="12"/>
      <name val="Antique Olive"/>
      <family val="2"/>
    </font>
    <font>
      <sz val="10"/>
      <color indexed="8"/>
      <name val="Antique Olive"/>
      <family val="2"/>
    </font>
    <font>
      <b/>
      <sz val="10"/>
      <color indexed="8"/>
      <name val="Antique Olive"/>
      <family val="2"/>
    </font>
    <font>
      <sz val="9"/>
      <name val="Arial"/>
      <family val="2"/>
    </font>
    <font>
      <sz val="9"/>
      <name val="Antique Olive"/>
      <family val="2"/>
    </font>
    <font>
      <b/>
      <sz val="12"/>
      <name val="Antique Olive"/>
      <family val="2"/>
    </font>
    <font>
      <b/>
      <sz val="16"/>
      <name val="Antique Olive"/>
      <family val="2"/>
    </font>
    <font>
      <sz val="16"/>
      <name val="Antique Olive"/>
      <family val="2"/>
    </font>
    <font>
      <b/>
      <sz val="14"/>
      <name val="Antique Olive"/>
      <family val="2"/>
    </font>
    <font>
      <sz val="14"/>
      <name val="Antique Olive"/>
      <family val="2"/>
    </font>
    <font>
      <sz val="14"/>
      <color indexed="8"/>
      <name val="Antique Olive"/>
      <family val="2"/>
    </font>
    <font>
      <b/>
      <sz val="14"/>
      <color indexed="8"/>
      <name val="Antique Olive"/>
      <family val="2"/>
    </font>
    <font>
      <b/>
      <sz val="10"/>
      <name val="Antique Olive"/>
      <family val="2"/>
    </font>
    <font>
      <b/>
      <sz val="10"/>
      <color indexed="8"/>
      <name val="Antique Olive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3"/>
      <name val="Tahoma"/>
      <family val="2"/>
    </font>
    <font>
      <sz val="10"/>
      <color indexed="53"/>
      <name val="Tahoma"/>
      <family val="2"/>
    </font>
    <font>
      <sz val="12"/>
      <name val="Arial Narrow"/>
      <family val="2"/>
    </font>
    <font>
      <b/>
      <sz val="10"/>
      <name val="Tahoma"/>
      <family val="2"/>
    </font>
    <font>
      <sz val="12"/>
      <name val="Tahoma"/>
      <family val="2"/>
    </font>
    <font>
      <sz val="12"/>
      <color indexed="10"/>
      <name val="Tahoma"/>
      <family val="2"/>
    </font>
    <font>
      <sz val="10"/>
      <color indexed="9"/>
      <name val="Tahoma"/>
      <family val="2"/>
    </font>
    <font>
      <sz val="10"/>
      <color indexed="10"/>
      <name val="Tahoma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sz val="10"/>
      <color rgb="FFFF0000"/>
      <name val="Antique Olive"/>
      <family val="2"/>
    </font>
    <font>
      <sz val="10"/>
      <name val="Century Schoolbook"/>
      <family val="2"/>
      <scheme val="minor"/>
    </font>
    <font>
      <b/>
      <sz val="10"/>
      <name val="Century Schoolbook"/>
      <family val="2"/>
      <scheme val="minor"/>
    </font>
    <font>
      <b/>
      <sz val="8"/>
      <color indexed="8"/>
      <name val="Arial Narrow"/>
      <family val="2"/>
    </font>
    <font>
      <b/>
      <sz val="8"/>
      <color rgb="FF000000"/>
      <name val="Arial Narrow"/>
      <family val="2"/>
    </font>
    <font>
      <b/>
      <sz val="7"/>
      <color rgb="FF000000"/>
      <name val="Arial Narrow"/>
      <family val="2"/>
    </font>
    <font>
      <b/>
      <sz val="20"/>
      <name val="Century Schoolbook"/>
      <family val="1"/>
      <scheme val="minor"/>
    </font>
    <font>
      <b/>
      <sz val="18"/>
      <name val="Century Schoolbook"/>
      <family val="1"/>
      <scheme val="minor"/>
    </font>
    <font>
      <b/>
      <sz val="9"/>
      <name val="Arial"/>
      <family val="2"/>
    </font>
    <font>
      <b/>
      <sz val="10"/>
      <name val="Antique Olive"/>
    </font>
    <font>
      <b/>
      <sz val="10"/>
      <color indexed="8"/>
      <name val="Antique Olive"/>
    </font>
    <font>
      <sz val="10"/>
      <color theme="1"/>
      <name val="Arial"/>
      <family val="2"/>
    </font>
    <font>
      <b/>
      <sz val="20"/>
      <name val="Swis721 BT"/>
      <family val="2"/>
    </font>
    <font>
      <b/>
      <sz val="16"/>
      <name val="Swis721 BT"/>
      <family val="2"/>
    </font>
    <font>
      <sz val="10"/>
      <name val="Swis721 BT"/>
      <family val="2"/>
    </font>
    <font>
      <b/>
      <sz val="13"/>
      <name val="Swis721 BT"/>
      <family val="2"/>
    </font>
    <font>
      <b/>
      <sz val="12"/>
      <name val="Swis721 BT"/>
      <family val="2"/>
    </font>
    <font>
      <sz val="9"/>
      <name val="Swis721 BT"/>
      <family val="2"/>
    </font>
    <font>
      <sz val="6"/>
      <name val="Swis721 BT"/>
      <family val="2"/>
    </font>
    <font>
      <sz val="14"/>
      <name val="Swis721 BT"/>
      <family val="2"/>
    </font>
    <font>
      <b/>
      <sz val="9"/>
      <name val="Swis721 BT"/>
      <family val="2"/>
    </font>
    <font>
      <b/>
      <sz val="10"/>
      <name val="Swis721 BT"/>
      <family val="2"/>
    </font>
    <font>
      <b/>
      <sz val="18"/>
      <color indexed="63"/>
      <name val="Swis721 BT"/>
      <family val="2"/>
    </font>
    <font>
      <sz val="11"/>
      <name val="Swis721 BT"/>
      <family val="2"/>
    </font>
    <font>
      <b/>
      <sz val="8"/>
      <name val="Swis721 BT"/>
      <family val="2"/>
    </font>
    <font>
      <b/>
      <sz val="11"/>
      <color indexed="9"/>
      <name val="Swis721 BT"/>
      <family val="2"/>
    </font>
    <font>
      <b/>
      <sz val="12"/>
      <color indexed="9"/>
      <name val="Swis721 BT"/>
      <family val="2"/>
    </font>
    <font>
      <sz val="10"/>
      <color indexed="8"/>
      <name val="Swis721 BT"/>
      <family val="2"/>
    </font>
    <font>
      <b/>
      <sz val="11"/>
      <color indexed="8"/>
      <name val="Swis721 BT"/>
      <family val="2"/>
    </font>
    <font>
      <b/>
      <sz val="12"/>
      <color indexed="8"/>
      <name val="Swis721 BT"/>
      <family val="2"/>
    </font>
    <font>
      <b/>
      <sz val="14"/>
      <color indexed="8"/>
      <name val="Swis721 BT"/>
      <family val="2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3">
    <xf numFmtId="0" fontId="0" fillId="0" borderId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  <xf numFmtId="0" fontId="11" fillId="0" borderId="0">
      <alignment vertical="top"/>
    </xf>
    <xf numFmtId="0" fontId="3" fillId="0" borderId="0"/>
    <xf numFmtId="0" fontId="34" fillId="0" borderId="0">
      <alignment vertical="top"/>
    </xf>
    <xf numFmtId="0" fontId="11" fillId="0" borderId="0">
      <alignment vertical="top"/>
    </xf>
    <xf numFmtId="0" fontId="35" fillId="0" borderId="0">
      <alignment vertical="top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30">
    <xf numFmtId="0" fontId="0" fillId="0" borderId="0" xfId="0"/>
    <xf numFmtId="4" fontId="3" fillId="0" borderId="1" xfId="0" applyNumberFormat="1" applyFont="1" applyFill="1" applyBorder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vertical="center"/>
    </xf>
    <xf numFmtId="4" fontId="3" fillId="0" borderId="1" xfId="0" applyNumberFormat="1" applyFont="1" applyFill="1" applyBorder="1" applyAlignment="1" applyProtection="1">
      <alignment horizontal="center" vertical="center"/>
    </xf>
    <xf numFmtId="4" fontId="3" fillId="0" borderId="2" xfId="0" applyNumberFormat="1" applyFont="1" applyFill="1" applyBorder="1" applyAlignment="1" applyProtection="1">
      <alignment horizontal="center" vertical="center"/>
    </xf>
    <xf numFmtId="4" fontId="3" fillId="0" borderId="6" xfId="0" applyNumberFormat="1" applyFont="1" applyFill="1" applyBorder="1" applyAlignment="1" applyProtection="1">
      <alignment vertical="center"/>
    </xf>
    <xf numFmtId="4" fontId="3" fillId="0" borderId="6" xfId="0" applyNumberFormat="1" applyFont="1" applyFill="1" applyBorder="1" applyAlignment="1" applyProtection="1">
      <alignment horizontal="center" vertical="center"/>
    </xf>
    <xf numFmtId="0" fontId="11" fillId="0" borderId="2" xfId="0" applyFont="1" applyFill="1" applyBorder="1" applyAlignment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166" fontId="5" fillId="2" borderId="0" xfId="0" applyNumberFormat="1" applyFont="1" applyFill="1" applyAlignment="1" applyProtection="1">
      <alignment horizontal="left" vertical="center"/>
    </xf>
    <xf numFmtId="166" fontId="3" fillId="2" borderId="0" xfId="0" applyNumberFormat="1" applyFont="1" applyFill="1" applyAlignment="1" applyProtection="1">
      <alignment vertical="center"/>
    </xf>
    <xf numFmtId="0" fontId="2" fillId="2" borderId="0" xfId="0" applyFont="1" applyFill="1" applyAlignment="1">
      <alignment vertical="center"/>
    </xf>
    <xf numFmtId="166" fontId="6" fillId="2" borderId="0" xfId="0" applyNumberFormat="1" applyFont="1" applyFill="1" applyAlignment="1" applyProtection="1">
      <alignment horizontal="left" vertical="center"/>
    </xf>
    <xf numFmtId="0" fontId="6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66" fontId="3" fillId="0" borderId="0" xfId="0" applyNumberFormat="1" applyFont="1" applyFill="1" applyBorder="1" applyAlignment="1" applyProtection="1">
      <alignment vertical="center"/>
    </xf>
    <xf numFmtId="166" fontId="3" fillId="0" borderId="0" xfId="0" applyNumberFormat="1" applyFont="1" applyFill="1" applyAlignment="1" applyProtection="1">
      <alignment vertical="center"/>
    </xf>
    <xf numFmtId="0" fontId="3" fillId="0" borderId="0" xfId="0" applyFont="1" applyFill="1" applyBorder="1" applyAlignment="1">
      <alignment vertical="center"/>
    </xf>
    <xf numFmtId="166" fontId="5" fillId="0" borderId="0" xfId="0" applyNumberFormat="1" applyFont="1" applyFill="1" applyAlignment="1" applyProtection="1">
      <alignment horizontal="left" vertical="center"/>
    </xf>
    <xf numFmtId="166" fontId="3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>
      <alignment vertical="center"/>
    </xf>
    <xf numFmtId="166" fontId="12" fillId="0" borderId="0" xfId="0" applyNumberFormat="1" applyFont="1" applyFill="1" applyAlignment="1" applyProtection="1">
      <alignment horizontal="left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lef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166" fontId="7" fillId="0" borderId="0" xfId="0" applyNumberFormat="1" applyFont="1" applyFill="1" applyBorder="1" applyAlignment="1" applyProtection="1">
      <alignment vertical="center"/>
    </xf>
    <xf numFmtId="4" fontId="7" fillId="0" borderId="0" xfId="0" applyNumberFormat="1" applyFont="1" applyFill="1" applyBorder="1" applyAlignment="1" applyProtection="1">
      <alignment vertical="center"/>
    </xf>
    <xf numFmtId="166" fontId="7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left" vertical="center"/>
    </xf>
    <xf numFmtId="166" fontId="3" fillId="0" borderId="0" xfId="0" applyNumberFormat="1" applyFont="1" applyFill="1" applyBorder="1" applyAlignment="1" applyProtection="1">
      <alignment horizontal="right" vertical="center"/>
    </xf>
    <xf numFmtId="4" fontId="7" fillId="0" borderId="1" xfId="0" applyNumberFormat="1" applyFont="1" applyFill="1" applyBorder="1" applyAlignment="1" applyProtection="1">
      <alignment horizontal="center" vertical="center"/>
    </xf>
    <xf numFmtId="4" fontId="7" fillId="0" borderId="3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right" vertical="center"/>
    </xf>
    <xf numFmtId="4" fontId="3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right" vertical="center"/>
    </xf>
    <xf numFmtId="4" fontId="12" fillId="0" borderId="2" xfId="0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>
      <alignment vertical="center"/>
    </xf>
    <xf numFmtId="4" fontId="12" fillId="0" borderId="6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horizontal="center" vertical="center"/>
    </xf>
    <xf numFmtId="4" fontId="3" fillId="0" borderId="0" xfId="0" applyNumberFormat="1" applyFont="1" applyFill="1" applyAlignment="1" applyProtection="1">
      <alignment horizontal="left" vertical="center"/>
    </xf>
    <xf numFmtId="4" fontId="7" fillId="0" borderId="0" xfId="0" quotePrefix="1" applyNumberFormat="1" applyFont="1" applyFill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Alignment="1" applyProtection="1">
      <alignment vertical="center"/>
    </xf>
    <xf numFmtId="166" fontId="12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Border="1" applyAlignment="1">
      <alignment vertical="center"/>
    </xf>
    <xf numFmtId="166" fontId="13" fillId="0" borderId="0" xfId="0" applyNumberFormat="1" applyFont="1" applyFill="1" applyAlignment="1" applyProtection="1">
      <alignment horizontal="left" vertical="center"/>
    </xf>
    <xf numFmtId="166" fontId="14" fillId="0" borderId="0" xfId="0" quotePrefix="1" applyNumberFormat="1" applyFont="1" applyFill="1" applyAlignment="1" applyProtection="1">
      <alignment horizontal="left" vertical="center"/>
    </xf>
    <xf numFmtId="0" fontId="12" fillId="0" borderId="0" xfId="0" applyFont="1" applyFill="1" applyAlignment="1">
      <alignment vertical="center"/>
    </xf>
    <xf numFmtId="166" fontId="20" fillId="0" borderId="0" xfId="0" applyNumberFormat="1" applyFont="1" applyFill="1" applyAlignment="1" applyProtection="1">
      <alignment horizontal="left" vertical="center"/>
    </xf>
    <xf numFmtId="166" fontId="21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Alignment="1">
      <alignment horizontal="center" vertical="center"/>
    </xf>
    <xf numFmtId="10" fontId="15" fillId="0" borderId="0" xfId="0" applyNumberFormat="1" applyFont="1" applyFill="1" applyBorder="1" applyAlignment="1" applyProtection="1">
      <alignment horizontal="center" vertical="center"/>
    </xf>
    <xf numFmtId="39" fontId="17" fillId="0" borderId="0" xfId="0" applyNumberFormat="1" applyFont="1" applyFill="1" applyBorder="1" applyAlignment="1" applyProtection="1">
      <alignment horizontal="center" vertical="center"/>
    </xf>
    <xf numFmtId="4" fontId="13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horizontal="center" vertical="center"/>
    </xf>
    <xf numFmtId="167" fontId="12" fillId="0" borderId="0" xfId="0" applyNumberFormat="1" applyFont="1" applyFill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 applyProtection="1">
      <alignment vertical="center"/>
    </xf>
    <xf numFmtId="4" fontId="12" fillId="0" borderId="0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horizontal="right" vertical="center"/>
    </xf>
    <xf numFmtId="4" fontId="15" fillId="0" borderId="0" xfId="0" applyNumberFormat="1" applyFont="1" applyFill="1" applyBorder="1" applyAlignment="1" applyProtection="1">
      <alignment horizontal="left" vertical="center"/>
    </xf>
    <xf numFmtId="166" fontId="12" fillId="0" borderId="0" xfId="0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Continuous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 applyProtection="1">
      <alignment vertical="center"/>
    </xf>
    <xf numFmtId="4" fontId="12" fillId="0" borderId="3" xfId="0" applyNumberFormat="1" applyFont="1" applyFill="1" applyBorder="1" applyAlignment="1" applyProtection="1">
      <alignment vertical="center"/>
    </xf>
    <xf numFmtId="4" fontId="12" fillId="0" borderId="1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Continuous" vertical="center"/>
    </xf>
    <xf numFmtId="166" fontId="15" fillId="0" borderId="0" xfId="0" quotePrefix="1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>
      <alignment horizontal="centerContinuous" vertical="center"/>
    </xf>
    <xf numFmtId="4" fontId="12" fillId="0" borderId="2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>
      <alignment horizontal="center" vertical="center"/>
    </xf>
    <xf numFmtId="4" fontId="18" fillId="0" borderId="1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4" fontId="12" fillId="0" borderId="6" xfId="0" applyNumberFormat="1" applyFont="1" applyFill="1" applyBorder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horizontal="center" vertical="center"/>
    </xf>
    <xf numFmtId="4" fontId="12" fillId="0" borderId="5" xfId="0" applyNumberFormat="1" applyFont="1" applyFill="1" applyBorder="1" applyAlignment="1" applyProtection="1">
      <alignment horizontal="left" vertical="center"/>
    </xf>
    <xf numFmtId="166" fontId="18" fillId="0" borderId="0" xfId="0" applyNumberFormat="1" applyFont="1" applyFill="1" applyBorder="1" applyAlignment="1" applyProtection="1">
      <alignment vertical="center"/>
    </xf>
    <xf numFmtId="166" fontId="19" fillId="0" borderId="0" xfId="0" applyNumberFormat="1" applyFont="1" applyFill="1" applyBorder="1" applyAlignment="1" applyProtection="1">
      <alignment vertical="center"/>
    </xf>
    <xf numFmtId="167" fontId="18" fillId="0" borderId="0" xfId="0" applyNumberFormat="1" applyFont="1" applyFill="1" applyBorder="1" applyAlignment="1" applyProtection="1">
      <alignment vertical="center"/>
    </xf>
    <xf numFmtId="166" fontId="18" fillId="0" borderId="0" xfId="0" applyNumberFormat="1" applyFont="1" applyFill="1" applyBorder="1" applyAlignment="1" applyProtection="1">
      <alignment horizontal="center" vertical="center"/>
    </xf>
    <xf numFmtId="166" fontId="17" fillId="0" borderId="0" xfId="0" applyNumberFormat="1" applyFont="1" applyFill="1" applyAlignment="1" applyProtection="1">
      <alignment horizontal="right" vertical="center"/>
    </xf>
    <xf numFmtId="166" fontId="17" fillId="0" borderId="0" xfId="0" applyNumberFormat="1" applyFont="1" applyFill="1" applyAlignment="1" applyProtection="1">
      <alignment horizontal="left" vertical="center"/>
    </xf>
    <xf numFmtId="4" fontId="17" fillId="0" borderId="0" xfId="0" applyNumberFormat="1" applyFont="1" applyFill="1" applyAlignment="1">
      <alignment horizontal="right" vertical="center"/>
    </xf>
    <xf numFmtId="168" fontId="17" fillId="0" borderId="0" xfId="0" applyNumberFormat="1" applyFont="1" applyFill="1" applyAlignment="1">
      <alignment horizontal="right" vertical="center"/>
    </xf>
    <xf numFmtId="166" fontId="19" fillId="0" borderId="0" xfId="0" applyNumberFormat="1" applyFont="1" applyFill="1" applyAlignment="1" applyProtection="1">
      <alignment horizontal="right" vertical="center"/>
    </xf>
    <xf numFmtId="166" fontId="19" fillId="0" borderId="0" xfId="0" applyNumberFormat="1" applyFont="1" applyFill="1" applyAlignment="1" applyProtection="1">
      <alignment horizontal="left" vertical="center"/>
    </xf>
    <xf numFmtId="166" fontId="18" fillId="0" borderId="0" xfId="0" applyNumberFormat="1" applyFont="1" applyFill="1" applyAlignment="1" applyProtection="1">
      <alignment vertical="center"/>
    </xf>
    <xf numFmtId="166" fontId="15" fillId="0" borderId="3" xfId="0" applyNumberFormat="1" applyFont="1" applyFill="1" applyBorder="1" applyAlignment="1" applyProtection="1">
      <alignment horizontal="center" vertical="center"/>
    </xf>
    <xf numFmtId="2" fontId="18" fillId="0" borderId="3" xfId="0" applyNumberFormat="1" applyFont="1" applyFill="1" applyBorder="1" applyAlignment="1" applyProtection="1">
      <alignment horizontal="right" vertical="center"/>
    </xf>
    <xf numFmtId="39" fontId="16" fillId="0" borderId="0" xfId="0" applyNumberFormat="1" applyFont="1" applyFill="1" applyAlignment="1" applyProtection="1">
      <alignment horizontal="center" vertical="center"/>
    </xf>
    <xf numFmtId="39" fontId="16" fillId="0" borderId="0" xfId="0" applyNumberFormat="1" applyFont="1" applyFill="1" applyAlignment="1" applyProtection="1">
      <alignment vertical="center"/>
    </xf>
    <xf numFmtId="39" fontId="17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right" vertical="center"/>
    </xf>
    <xf numFmtId="166" fontId="18" fillId="0" borderId="0" xfId="0" applyNumberFormat="1" applyFont="1" applyFill="1" applyBorder="1" applyAlignment="1" applyProtection="1">
      <alignment horizontal="left" vertical="center"/>
    </xf>
    <xf numFmtId="166" fontId="18" fillId="0" borderId="0" xfId="0" applyNumberFormat="1" applyFont="1" applyFill="1" applyBorder="1" applyAlignment="1" applyProtection="1">
      <alignment horizontal="centerContinuous" vertical="center"/>
    </xf>
    <xf numFmtId="166" fontId="16" fillId="0" borderId="0" xfId="0" applyNumberFormat="1" applyFont="1" applyFill="1" applyAlignment="1" applyProtection="1">
      <alignment vertical="center"/>
    </xf>
    <xf numFmtId="166" fontId="17" fillId="0" borderId="0" xfId="0" applyNumberFormat="1" applyFont="1" applyFill="1" applyAlignment="1" applyProtection="1">
      <alignment horizontal="center" vertical="center"/>
    </xf>
    <xf numFmtId="167" fontId="16" fillId="0" borderId="0" xfId="0" applyNumberFormat="1" applyFont="1" applyFill="1" applyAlignment="1" applyProtection="1">
      <alignment vertical="center"/>
    </xf>
    <xf numFmtId="169" fontId="12" fillId="0" borderId="0" xfId="0" applyNumberFormat="1" applyFont="1" applyFill="1" applyBorder="1" applyAlignment="1" applyProtection="1">
      <alignment horizontal="right" vertical="center"/>
    </xf>
    <xf numFmtId="166" fontId="17" fillId="0" borderId="0" xfId="0" quotePrefix="1" applyNumberFormat="1" applyFont="1" applyFill="1" applyAlignment="1" applyProtection="1">
      <alignment horizontal="left" vertical="center"/>
    </xf>
    <xf numFmtId="4" fontId="22" fillId="0" borderId="0" xfId="0" applyNumberFormat="1" applyFont="1" applyFill="1" applyBorder="1" applyAlignment="1">
      <alignment vertical="center"/>
    </xf>
    <xf numFmtId="4" fontId="12" fillId="0" borderId="9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 applyProtection="1">
      <alignment horizontal="left" vertical="center"/>
    </xf>
    <xf numFmtId="4" fontId="12" fillId="0" borderId="7" xfId="0" applyNumberFormat="1" applyFont="1" applyFill="1" applyBorder="1" applyAlignment="1" applyProtection="1">
      <alignment horizontal="left" vertical="center"/>
    </xf>
    <xf numFmtId="4" fontId="12" fillId="0" borderId="10" xfId="0" applyNumberFormat="1" applyFont="1" applyFill="1" applyBorder="1" applyAlignment="1" applyProtection="1">
      <alignment horizontal="center" vertical="center"/>
    </xf>
    <xf numFmtId="4" fontId="12" fillId="0" borderId="11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Alignment="1">
      <alignment vertical="center"/>
    </xf>
    <xf numFmtId="4" fontId="12" fillId="0" borderId="0" xfId="0" applyNumberFormat="1" applyFont="1" applyFill="1" applyBorder="1" applyAlignment="1" applyProtection="1">
      <alignment horizontal="left" vertical="center"/>
    </xf>
    <xf numFmtId="166" fontId="12" fillId="0" borderId="0" xfId="0" quotePrefix="1" applyNumberFormat="1" applyFont="1" applyFill="1" applyAlignment="1" applyProtection="1">
      <alignment horizontal="left" vertical="center"/>
    </xf>
    <xf numFmtId="166" fontId="4" fillId="0" borderId="0" xfId="0" applyNumberFormat="1" applyFont="1" applyFill="1" applyBorder="1" applyAlignment="1" applyProtection="1">
      <alignment horizontal="center" vertical="center"/>
    </xf>
    <xf numFmtId="166" fontId="20" fillId="0" borderId="3" xfId="0" applyNumberFormat="1" applyFont="1" applyFill="1" applyBorder="1" applyAlignment="1" applyProtection="1">
      <alignment horizontal="left" vertical="center"/>
    </xf>
    <xf numFmtId="166" fontId="5" fillId="0" borderId="12" xfId="0" applyNumberFormat="1" applyFont="1" applyFill="1" applyBorder="1" applyAlignment="1" applyProtection="1">
      <alignment horizontal="left" vertical="center"/>
    </xf>
    <xf numFmtId="4" fontId="9" fillId="0" borderId="3" xfId="0" applyNumberFormat="1" applyFont="1" applyFill="1" applyBorder="1" applyAlignment="1">
      <alignment vertical="center"/>
    </xf>
    <xf numFmtId="4" fontId="9" fillId="0" borderId="13" xfId="0" applyNumberFormat="1" applyFont="1" applyFill="1" applyBorder="1" applyAlignment="1">
      <alignment vertical="center"/>
    </xf>
    <xf numFmtId="166" fontId="3" fillId="0" borderId="0" xfId="0" applyNumberFormat="1" applyFont="1" applyFill="1" applyAlignment="1" applyProtection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167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0" fontId="12" fillId="2" borderId="0" xfId="5" applyFont="1" applyFill="1"/>
    <xf numFmtId="0" fontId="12" fillId="2" borderId="0" xfId="5" applyFont="1" applyFill="1" applyBorder="1"/>
    <xf numFmtId="4" fontId="12" fillId="2" borderId="0" xfId="5" applyNumberFormat="1" applyFont="1" applyFill="1"/>
    <xf numFmtId="4" fontId="18" fillId="0" borderId="3" xfId="0" applyNumberFormat="1" applyFont="1" applyFill="1" applyBorder="1" applyAlignment="1">
      <alignment horizontal="center" vertical="center"/>
    </xf>
    <xf numFmtId="4" fontId="12" fillId="0" borderId="4" xfId="0" applyNumberFormat="1" applyFont="1" applyFill="1" applyBorder="1" applyAlignment="1" applyProtection="1">
      <alignment vertical="center"/>
    </xf>
    <xf numFmtId="4" fontId="18" fillId="0" borderId="14" xfId="0" applyNumberFormat="1" applyFont="1" applyFill="1" applyBorder="1" applyAlignment="1" applyProtection="1">
      <alignment horizontal="center" vertical="center"/>
    </xf>
    <xf numFmtId="4" fontId="12" fillId="0" borderId="15" xfId="0" applyNumberFormat="1" applyFont="1" applyFill="1" applyBorder="1" applyAlignment="1" applyProtection="1">
      <alignment horizontal="right" vertical="center"/>
    </xf>
    <xf numFmtId="4" fontId="12" fillId="2" borderId="0" xfId="0" applyNumberFormat="1" applyFont="1" applyFill="1" applyAlignment="1">
      <alignment vertical="center"/>
    </xf>
    <xf numFmtId="168" fontId="12" fillId="0" borderId="0" xfId="0" applyNumberFormat="1" applyFont="1" applyFill="1" applyAlignment="1">
      <alignment vertical="center"/>
    </xf>
    <xf numFmtId="4" fontId="7" fillId="4" borderId="0" xfId="0" applyNumberFormat="1" applyFont="1" applyFill="1" applyBorder="1" applyAlignment="1" applyProtection="1">
      <alignment horizontal="left" vertical="center"/>
    </xf>
    <xf numFmtId="4" fontId="3" fillId="4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Alignment="1" applyProtection="1">
      <alignment horizontal="left" vertical="center"/>
    </xf>
    <xf numFmtId="4" fontId="3" fillId="4" borderId="0" xfId="0" applyNumberFormat="1" applyFont="1" applyFill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4" fontId="3" fillId="5" borderId="0" xfId="0" applyNumberFormat="1" applyFont="1" applyFill="1" applyBorder="1" applyAlignment="1" applyProtection="1">
      <alignment vertical="center"/>
    </xf>
    <xf numFmtId="39" fontId="12" fillId="2" borderId="3" xfId="5" applyNumberFormat="1" applyFont="1" applyFill="1" applyBorder="1" applyAlignment="1" applyProtection="1">
      <alignment vertical="center"/>
    </xf>
    <xf numFmtId="0" fontId="12" fillId="2" borderId="3" xfId="5" applyFont="1" applyFill="1" applyBorder="1"/>
    <xf numFmtId="4" fontId="12" fillId="2" borderId="13" xfId="5" applyNumberFormat="1" applyFont="1" applyFill="1" applyBorder="1" applyAlignment="1">
      <alignment vertical="center"/>
    </xf>
    <xf numFmtId="39" fontId="12" fillId="2" borderId="3" xfId="5" applyNumberFormat="1" applyFont="1" applyFill="1" applyBorder="1" applyAlignment="1" applyProtection="1">
      <alignment horizontal="left" vertical="center"/>
    </xf>
    <xf numFmtId="4" fontId="15" fillId="2" borderId="16" xfId="5" applyNumberFormat="1" applyFont="1" applyFill="1" applyBorder="1" applyAlignment="1" applyProtection="1">
      <alignment vertical="center"/>
    </xf>
    <xf numFmtId="166" fontId="12" fillId="2" borderId="17" xfId="5" applyNumberFormat="1" applyFont="1" applyFill="1" applyBorder="1" applyAlignment="1" applyProtection="1">
      <alignment horizontal="left" vertical="center"/>
    </xf>
    <xf numFmtId="39" fontId="12" fillId="2" borderId="6" xfId="5" applyNumberFormat="1" applyFont="1" applyFill="1" applyBorder="1" applyAlignment="1" applyProtection="1">
      <alignment vertical="center"/>
    </xf>
    <xf numFmtId="0" fontId="12" fillId="2" borderId="6" xfId="5" applyFont="1" applyFill="1" applyBorder="1"/>
    <xf numFmtId="4" fontId="12" fillId="2" borderId="18" xfId="5" applyNumberFormat="1" applyFont="1" applyFill="1" applyBorder="1" applyAlignment="1">
      <alignment vertical="center"/>
    </xf>
    <xf numFmtId="0" fontId="12" fillId="6" borderId="0" xfId="5" applyFont="1" applyFill="1" applyBorder="1"/>
    <xf numFmtId="2" fontId="15" fillId="0" borderId="0" xfId="0" applyNumberFormat="1" applyFont="1" applyFill="1" applyBorder="1" applyAlignment="1" applyProtection="1">
      <alignment horizontal="right" vertical="center"/>
    </xf>
    <xf numFmtId="166" fontId="17" fillId="0" borderId="0" xfId="5" applyNumberFormat="1" applyFont="1" applyFill="1" applyBorder="1" applyAlignment="1" applyProtection="1">
      <alignment horizontal="left"/>
    </xf>
    <xf numFmtId="4" fontId="17" fillId="0" borderId="0" xfId="5" applyNumberFormat="1" applyFont="1" applyFill="1" applyBorder="1" applyAlignment="1" applyProtection="1">
      <alignment horizontal="left"/>
    </xf>
    <xf numFmtId="4" fontId="12" fillId="0" borderId="0" xfId="5" applyNumberFormat="1" applyFont="1" applyFill="1" applyBorder="1" applyProtection="1"/>
    <xf numFmtId="4" fontId="17" fillId="0" borderId="0" xfId="5" applyNumberFormat="1" applyFont="1" applyFill="1" applyBorder="1" applyAlignment="1" applyProtection="1">
      <alignment horizontal="right"/>
    </xf>
    <xf numFmtId="4" fontId="17" fillId="0" borderId="0" xfId="5" applyNumberFormat="1" applyFont="1" applyFill="1" applyBorder="1" applyProtection="1"/>
    <xf numFmtId="2" fontId="15" fillId="5" borderId="0" xfId="0" applyNumberFormat="1" applyFont="1" applyFill="1" applyBorder="1" applyAlignment="1" applyProtection="1">
      <alignment horizontal="right" vertical="center"/>
    </xf>
    <xf numFmtId="4" fontId="15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 applyProtection="1">
      <alignment vertical="center"/>
    </xf>
    <xf numFmtId="4" fontId="12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right" vertical="center"/>
    </xf>
    <xf numFmtId="4" fontId="17" fillId="5" borderId="0" xfId="0" applyNumberFormat="1" applyFont="1" applyFill="1" applyBorder="1" applyAlignment="1" applyProtection="1">
      <alignment vertical="center"/>
    </xf>
    <xf numFmtId="0" fontId="12" fillId="0" borderId="0" xfId="5" applyFont="1" applyFill="1" applyBorder="1"/>
    <xf numFmtId="0" fontId="12" fillId="0" borderId="0" xfId="5" applyFont="1" applyFill="1"/>
    <xf numFmtId="166" fontId="15" fillId="7" borderId="19" xfId="5" applyNumberFormat="1" applyFont="1" applyFill="1" applyBorder="1" applyAlignment="1" applyProtection="1">
      <alignment horizontal="center" vertical="center"/>
    </xf>
    <xf numFmtId="0" fontId="15" fillId="7" borderId="20" xfId="5" applyFont="1" applyFill="1" applyBorder="1" applyAlignment="1">
      <alignment horizontal="center" vertical="center"/>
    </xf>
    <xf numFmtId="4" fontId="17" fillId="0" borderId="0" xfId="5" applyNumberFormat="1" applyFont="1" applyFill="1" applyBorder="1" applyAlignment="1" applyProtection="1"/>
    <xf numFmtId="166" fontId="15" fillId="5" borderId="0" xfId="0" applyNumberFormat="1" applyFont="1" applyFill="1" applyBorder="1" applyAlignment="1" applyProtection="1">
      <alignment horizontal="right" vertical="center"/>
    </xf>
    <xf numFmtId="166" fontId="23" fillId="0" borderId="0" xfId="0" quotePrefix="1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Continuous" vertical="center"/>
    </xf>
    <xf numFmtId="167" fontId="24" fillId="0" borderId="0" xfId="0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" vertical="center"/>
    </xf>
    <xf numFmtId="0" fontId="47" fillId="0" borderId="0" xfId="0" applyFont="1" applyFill="1" applyAlignment="1">
      <alignment vertical="center"/>
    </xf>
    <xf numFmtId="4" fontId="18" fillId="0" borderId="6" xfId="0" applyNumberFormat="1" applyFont="1" applyFill="1" applyBorder="1" applyAlignment="1">
      <alignment horizontal="center" vertical="center"/>
    </xf>
    <xf numFmtId="4" fontId="13" fillId="0" borderId="0" xfId="0" applyNumberFormat="1" applyFont="1" applyFill="1" applyBorder="1" applyAlignment="1" applyProtection="1">
      <alignment horizontal="left" vertical="center"/>
    </xf>
    <xf numFmtId="4" fontId="17" fillId="8" borderId="21" xfId="5" applyNumberFormat="1" applyFont="1" applyFill="1" applyBorder="1" applyAlignment="1" applyProtection="1"/>
    <xf numFmtId="0" fontId="12" fillId="8" borderId="22" xfId="5" applyFont="1" applyFill="1" applyBorder="1"/>
    <xf numFmtId="4" fontId="12" fillId="8" borderId="22" xfId="5" applyNumberFormat="1" applyFont="1" applyFill="1" applyBorder="1" applyProtection="1"/>
    <xf numFmtId="4" fontId="17" fillId="8" borderId="22" xfId="5" applyNumberFormat="1" applyFont="1" applyFill="1" applyBorder="1" applyAlignment="1" applyProtection="1">
      <alignment horizontal="right"/>
    </xf>
    <xf numFmtId="4" fontId="17" fillId="8" borderId="8" xfId="5" applyNumberFormat="1" applyFont="1" applyFill="1" applyBorder="1" applyProtection="1"/>
    <xf numFmtId="166" fontId="17" fillId="8" borderId="21" xfId="5" applyNumberFormat="1" applyFont="1" applyFill="1" applyBorder="1" applyAlignment="1" applyProtection="1">
      <alignment horizontal="left"/>
    </xf>
    <xf numFmtId="4" fontId="17" fillId="8" borderId="22" xfId="5" applyNumberFormat="1" applyFont="1" applyFill="1" applyBorder="1" applyAlignment="1" applyProtection="1">
      <alignment horizontal="left"/>
    </xf>
    <xf numFmtId="10" fontId="10" fillId="3" borderId="23" xfId="12" applyNumberFormat="1" applyFont="1" applyFill="1" applyBorder="1" applyAlignment="1" applyProtection="1">
      <alignment vertical="center"/>
    </xf>
    <xf numFmtId="166" fontId="25" fillId="0" borderId="0" xfId="0" quotePrefix="1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Continuous" vertical="center"/>
    </xf>
    <xf numFmtId="167" fontId="26" fillId="0" borderId="0" xfId="0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" vertical="center"/>
    </xf>
    <xf numFmtId="166" fontId="27" fillId="0" borderId="0" xfId="0" applyNumberFormat="1" applyFont="1" applyFill="1" applyBorder="1" applyAlignment="1" applyProtection="1">
      <alignment vertical="center"/>
    </xf>
    <xf numFmtId="166" fontId="28" fillId="0" borderId="0" xfId="0" applyNumberFormat="1" applyFont="1" applyFill="1" applyBorder="1" applyAlignment="1" applyProtection="1">
      <alignment vertical="center"/>
    </xf>
    <xf numFmtId="167" fontId="27" fillId="0" borderId="0" xfId="0" applyNumberFormat="1" applyFont="1" applyFill="1" applyBorder="1" applyAlignment="1" applyProtection="1">
      <alignment vertical="center"/>
    </xf>
    <xf numFmtId="166" fontId="27" fillId="0" borderId="0" xfId="0" applyNumberFormat="1" applyFont="1" applyFill="1" applyBorder="1" applyAlignment="1" applyProtection="1">
      <alignment horizontal="center" vertical="center"/>
    </xf>
    <xf numFmtId="164" fontId="12" fillId="2" borderId="0" xfId="1" applyFont="1" applyFill="1" applyAlignment="1">
      <alignment vertical="center"/>
    </xf>
    <xf numFmtId="171" fontId="12" fillId="2" borderId="0" xfId="0" applyNumberFormat="1" applyFont="1" applyFill="1" applyAlignment="1">
      <alignment vertical="center"/>
    </xf>
    <xf numFmtId="166" fontId="12" fillId="0" borderId="24" xfId="0" applyNumberFormat="1" applyFont="1" applyFill="1" applyBorder="1" applyAlignment="1" applyProtection="1">
      <alignment vertical="center" wrapText="1"/>
    </xf>
    <xf numFmtId="166" fontId="8" fillId="0" borderId="0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 applyProtection="1">
      <alignment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 vertical="center"/>
    </xf>
    <xf numFmtId="166" fontId="23" fillId="0" borderId="0" xfId="0" applyNumberFormat="1" applyFont="1" applyFill="1" applyBorder="1" applyAlignment="1" applyProtection="1">
      <alignment vertical="center"/>
    </xf>
    <xf numFmtId="2" fontId="30" fillId="0" borderId="3" xfId="0" applyNumberFormat="1" applyFont="1" applyFill="1" applyBorder="1" applyAlignment="1" applyProtection="1">
      <alignment horizontal="right" vertical="center"/>
    </xf>
    <xf numFmtId="166" fontId="25" fillId="0" borderId="0" xfId="0" applyNumberFormat="1" applyFont="1" applyFill="1" applyBorder="1" applyAlignment="1" applyProtection="1">
      <alignment vertical="center"/>
    </xf>
    <xf numFmtId="2" fontId="25" fillId="0" borderId="0" xfId="0" applyNumberFormat="1" applyFont="1" applyFill="1" applyBorder="1" applyAlignment="1" applyProtection="1">
      <alignment horizontal="left" vertical="center"/>
    </xf>
    <xf numFmtId="4" fontId="12" fillId="0" borderId="4" xfId="0" applyNumberFormat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4" fontId="12" fillId="0" borderId="14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right" vertical="center"/>
    </xf>
    <xf numFmtId="0" fontId="3" fillId="0" borderId="3" xfId="0" applyFont="1" applyFill="1" applyBorder="1" applyAlignment="1">
      <alignment vertical="center"/>
    </xf>
    <xf numFmtId="4" fontId="3" fillId="0" borderId="18" xfId="0" applyNumberFormat="1" applyFont="1" applyFill="1" applyBorder="1" applyAlignment="1">
      <alignment vertical="center"/>
    </xf>
    <xf numFmtId="4" fontId="3" fillId="0" borderId="13" xfId="0" applyNumberFormat="1" applyFont="1" applyFill="1" applyBorder="1" applyAlignment="1">
      <alignment vertical="center"/>
    </xf>
    <xf numFmtId="4" fontId="3" fillId="0" borderId="25" xfId="0" applyNumberFormat="1" applyFont="1" applyFill="1" applyBorder="1" applyAlignment="1">
      <alignment vertical="center"/>
    </xf>
    <xf numFmtId="170" fontId="31" fillId="0" borderId="0" xfId="0" applyNumberFormat="1" applyFont="1" applyAlignment="1">
      <alignment horizontal="right" vertical="center"/>
    </xf>
    <xf numFmtId="4" fontId="3" fillId="0" borderId="2" xfId="0" applyNumberFormat="1" applyFont="1" applyFill="1" applyBorder="1" applyAlignment="1" applyProtection="1">
      <alignment horizontal="left" vertical="center"/>
    </xf>
    <xf numFmtId="166" fontId="7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center" vertical="center"/>
    </xf>
    <xf numFmtId="166" fontId="7" fillId="7" borderId="19" xfId="0" applyNumberFormat="1" applyFont="1" applyFill="1" applyBorder="1" applyAlignment="1" applyProtection="1">
      <alignment horizontal="center" vertical="center"/>
    </xf>
    <xf numFmtId="0" fontId="7" fillId="7" borderId="20" xfId="0" applyFont="1" applyFill="1" applyBorder="1" applyAlignment="1">
      <alignment horizontal="center" vertical="center"/>
    </xf>
    <xf numFmtId="166" fontId="7" fillId="0" borderId="17" xfId="0" applyNumberFormat="1" applyFont="1" applyFill="1" applyBorder="1" applyAlignment="1" applyProtection="1">
      <alignment horizontal="left" vertical="center"/>
    </xf>
    <xf numFmtId="4" fontId="7" fillId="7" borderId="20" xfId="0" applyNumberFormat="1" applyFont="1" applyFill="1" applyBorder="1" applyAlignment="1">
      <alignment vertical="center"/>
    </xf>
    <xf numFmtId="39" fontId="7" fillId="0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Border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39" fontId="12" fillId="2" borderId="21" xfId="5" applyNumberFormat="1" applyFont="1" applyFill="1" applyBorder="1" applyAlignment="1" applyProtection="1">
      <alignment vertical="center"/>
    </xf>
    <xf numFmtId="0" fontId="12" fillId="2" borderId="8" xfId="5" applyFont="1" applyFill="1" applyBorder="1"/>
    <xf numFmtId="39" fontId="12" fillId="2" borderId="22" xfId="5" applyNumberFormat="1" applyFont="1" applyFill="1" applyBorder="1" applyAlignment="1" applyProtection="1">
      <alignment vertical="center"/>
    </xf>
    <xf numFmtId="4" fontId="7" fillId="0" borderId="21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vertical="center"/>
    </xf>
    <xf numFmtId="4" fontId="6" fillId="2" borderId="0" xfId="0" applyNumberFormat="1" applyFont="1" applyFill="1" applyAlignment="1">
      <alignment vertical="center"/>
    </xf>
    <xf numFmtId="4" fontId="3" fillId="2" borderId="0" xfId="0" applyNumberFormat="1" applyFont="1" applyFill="1" applyAlignment="1">
      <alignment vertical="center"/>
    </xf>
    <xf numFmtId="166" fontId="32" fillId="0" borderId="0" xfId="0" applyNumberFormat="1" applyFont="1" applyFill="1" applyBorder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0" fontId="10" fillId="3" borderId="26" xfId="12" applyNumberFormat="1" applyFont="1" applyFill="1" applyBorder="1" applyAlignment="1" applyProtection="1">
      <alignment vertical="center"/>
    </xf>
    <xf numFmtId="10" fontId="10" fillId="3" borderId="27" xfId="12" applyNumberFormat="1" applyFont="1" applyFill="1" applyBorder="1" applyAlignment="1" applyProtection="1">
      <alignment vertical="center"/>
    </xf>
    <xf numFmtId="4" fontId="2" fillId="0" borderId="0" xfId="0" applyNumberFormat="1" applyFont="1" applyAlignment="1">
      <alignment vertical="center"/>
    </xf>
    <xf numFmtId="170" fontId="31" fillId="0" borderId="0" xfId="0" applyNumberFormat="1" applyFont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4" fontId="3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vertical="center"/>
    </xf>
    <xf numFmtId="4" fontId="7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0" fontId="11" fillId="0" borderId="0" xfId="0" applyFont="1" applyFill="1" applyAlignment="1">
      <alignment horizontal="center" vertical="center"/>
    </xf>
    <xf numFmtId="0" fontId="36" fillId="0" borderId="0" xfId="0" applyFont="1" applyBorder="1"/>
    <xf numFmtId="0" fontId="36" fillId="0" borderId="0" xfId="0" applyFont="1"/>
    <xf numFmtId="0" fontId="37" fillId="0" borderId="0" xfId="0" applyFont="1" applyBorder="1" applyAlignment="1"/>
    <xf numFmtId="0" fontId="37" fillId="0" borderId="0" xfId="0" applyFont="1" applyAlignment="1"/>
    <xf numFmtId="0" fontId="38" fillId="0" borderId="0" xfId="0" applyFont="1"/>
    <xf numFmtId="4" fontId="39" fillId="0" borderId="0" xfId="0" applyNumberFormat="1" applyFont="1"/>
    <xf numFmtId="4" fontId="40" fillId="0" borderId="0" xfId="0" applyNumberFormat="1" applyFont="1"/>
    <xf numFmtId="0" fontId="41" fillId="0" borderId="0" xfId="0" applyFont="1" applyBorder="1" applyAlignment="1"/>
    <xf numFmtId="4" fontId="7" fillId="0" borderId="0" xfId="0" applyNumberFormat="1" applyFont="1"/>
    <xf numFmtId="0" fontId="42" fillId="0" borderId="0" xfId="0" applyFont="1" applyBorder="1" applyAlignment="1"/>
    <xf numFmtId="0" fontId="43" fillId="0" borderId="0" xfId="0" applyFont="1" applyBorder="1"/>
    <xf numFmtId="0" fontId="44" fillId="0" borderId="0" xfId="0" applyFont="1" applyBorder="1"/>
    <xf numFmtId="0" fontId="45" fillId="0" borderId="0" xfId="0" applyFont="1"/>
    <xf numFmtId="4" fontId="0" fillId="0" borderId="0" xfId="0" applyNumberFormat="1"/>
    <xf numFmtId="0" fontId="46" fillId="0" borderId="0" xfId="0" applyFont="1"/>
    <xf numFmtId="10" fontId="0" fillId="0" borderId="0" xfId="0" applyNumberFormat="1"/>
    <xf numFmtId="0" fontId="48" fillId="0" borderId="0" xfId="0" applyFont="1"/>
    <xf numFmtId="0" fontId="49" fillId="0" borderId="0" xfId="0" applyFont="1"/>
    <xf numFmtId="0" fontId="0" fillId="0" borderId="0" xfId="0" applyBorder="1"/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0" fontId="0" fillId="0" borderId="0" xfId="12" applyNumberFormat="1" applyFont="1"/>
    <xf numFmtId="173" fontId="48" fillId="0" borderId="0" xfId="0" applyNumberFormat="1" applyFont="1"/>
    <xf numFmtId="166" fontId="1" fillId="0" borderId="0" xfId="0" applyNumberFormat="1" applyFont="1" applyFill="1" applyAlignment="1" applyProtection="1">
      <alignment horizontal="left" vertical="center"/>
    </xf>
    <xf numFmtId="166" fontId="1" fillId="0" borderId="0" xfId="0" applyNumberFormat="1" applyFont="1" applyFill="1" applyAlignment="1" applyProtection="1">
      <alignment vertical="center"/>
    </xf>
    <xf numFmtId="0" fontId="1" fillId="0" borderId="0" xfId="0" applyFont="1" applyFill="1" applyAlignment="1">
      <alignment vertical="center"/>
    </xf>
    <xf numFmtId="4" fontId="1" fillId="2" borderId="0" xfId="0" applyNumberFormat="1" applyFont="1" applyFill="1" applyAlignment="1">
      <alignment vertical="center"/>
    </xf>
    <xf numFmtId="0" fontId="1" fillId="2" borderId="0" xfId="0" applyFont="1" applyFill="1" applyAlignment="1">
      <alignment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166" fontId="1" fillId="10" borderId="0" xfId="0" applyNumberFormat="1" applyFont="1" applyFill="1" applyAlignment="1" applyProtection="1">
      <alignment horizontal="left" vertical="center"/>
    </xf>
    <xf numFmtId="166" fontId="3" fillId="10" borderId="0" xfId="0" applyNumberFormat="1" applyFont="1" applyFill="1" applyAlignment="1" applyProtection="1">
      <alignment horizontal="left" vertical="center"/>
    </xf>
    <xf numFmtId="0" fontId="1" fillId="10" borderId="0" xfId="0" applyFont="1" applyFill="1" applyAlignment="1">
      <alignment vertical="center"/>
    </xf>
    <xf numFmtId="4" fontId="7" fillId="2" borderId="0" xfId="0" applyNumberFormat="1" applyFont="1" applyFill="1" applyAlignment="1" applyProtection="1">
      <alignment horizontal="right"/>
    </xf>
    <xf numFmtId="0" fontId="1" fillId="2" borderId="0" xfId="0" applyFont="1" applyFill="1"/>
    <xf numFmtId="4" fontId="12" fillId="2" borderId="3" xfId="0" applyNumberFormat="1" applyFont="1" applyFill="1" applyBorder="1" applyProtection="1"/>
    <xf numFmtId="4" fontId="12" fillId="2" borderId="3" xfId="0" applyNumberFormat="1" applyFont="1" applyFill="1" applyBorder="1" applyAlignment="1" applyProtection="1">
      <alignment horizontal="center"/>
    </xf>
    <xf numFmtId="0" fontId="3" fillId="0" borderId="11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4" fontId="7" fillId="4" borderId="0" xfId="0" applyNumberFormat="1" applyFont="1" applyFill="1" applyBorder="1" applyAlignment="1" applyProtection="1">
      <alignment horizontal="center" vertical="center"/>
    </xf>
    <xf numFmtId="4" fontId="3" fillId="0" borderId="3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center" vertical="center"/>
    </xf>
    <xf numFmtId="4" fontId="3" fillId="0" borderId="3" xfId="2" applyNumberFormat="1" applyFont="1" applyFill="1" applyBorder="1" applyAlignment="1">
      <alignment horizontal="center" vertical="center"/>
    </xf>
    <xf numFmtId="4" fontId="50" fillId="0" borderId="0" xfId="0" applyNumberFormat="1" applyFont="1" applyAlignment="1">
      <alignment horizontal="center" vertical="top"/>
    </xf>
    <xf numFmtId="4" fontId="51" fillId="0" borderId="0" xfId="0" applyNumberFormat="1" applyFont="1"/>
    <xf numFmtId="4" fontId="11" fillId="0" borderId="0" xfId="0" applyNumberFormat="1" applyFont="1" applyFill="1" applyAlignment="1">
      <alignment horizontal="center" vertical="center"/>
    </xf>
    <xf numFmtId="0" fontId="1" fillId="0" borderId="3" xfId="0" applyFont="1" applyBorder="1" applyAlignment="1">
      <alignment horizontal="center"/>
    </xf>
    <xf numFmtId="172" fontId="36" fillId="0" borderId="0" xfId="0" applyNumberFormat="1" applyFont="1" applyBorder="1"/>
    <xf numFmtId="4" fontId="1" fillId="0" borderId="21" xfId="0" applyNumberFormat="1" applyFont="1" applyFill="1" applyBorder="1" applyAlignment="1" applyProtection="1">
      <alignment vertical="center"/>
    </xf>
    <xf numFmtId="175" fontId="3" fillId="2" borderId="0" xfId="0" applyNumberFormat="1" applyFont="1" applyFill="1" applyAlignment="1">
      <alignment vertical="center"/>
    </xf>
    <xf numFmtId="4" fontId="5" fillId="9" borderId="40" xfId="0" applyNumberFormat="1" applyFont="1" applyFill="1" applyBorder="1" applyAlignment="1">
      <alignment horizontal="center" vertical="center" wrapText="1"/>
    </xf>
    <xf numFmtId="4" fontId="12" fillId="2" borderId="3" xfId="0" applyNumberFormat="1" applyFont="1" applyFill="1" applyBorder="1" applyAlignment="1">
      <alignment vertical="center"/>
    </xf>
    <xf numFmtId="4" fontId="12" fillId="2" borderId="3" xfId="0" applyNumberFormat="1" applyFont="1" applyFill="1" applyBorder="1" applyAlignment="1">
      <alignment horizontal="center" vertical="center"/>
    </xf>
    <xf numFmtId="4" fontId="2" fillId="2" borderId="0" xfId="0" applyNumberFormat="1" applyFont="1" applyFill="1" applyAlignment="1">
      <alignment vertical="center"/>
    </xf>
    <xf numFmtId="166" fontId="15" fillId="9" borderId="41" xfId="0" applyNumberFormat="1" applyFont="1" applyFill="1" applyBorder="1" applyAlignment="1" applyProtection="1">
      <alignment horizontal="center" vertical="center"/>
    </xf>
    <xf numFmtId="166" fontId="15" fillId="9" borderId="42" xfId="0" applyNumberFormat="1" applyFont="1" applyFill="1" applyBorder="1" applyAlignment="1" applyProtection="1">
      <alignment horizontal="center" vertical="center"/>
    </xf>
    <xf numFmtId="4" fontId="5" fillId="9" borderId="42" xfId="0" applyNumberFormat="1" applyFont="1" applyFill="1" applyBorder="1" applyAlignment="1">
      <alignment horizontal="center" vertical="center" wrapText="1"/>
    </xf>
    <xf numFmtId="4" fontId="10" fillId="3" borderId="35" xfId="0" applyNumberFormat="1" applyFont="1" applyFill="1" applyBorder="1" applyAlignment="1" applyProtection="1">
      <alignment vertical="center"/>
    </xf>
    <xf numFmtId="4" fontId="10" fillId="3" borderId="16" xfId="0" applyNumberFormat="1" applyFont="1" applyFill="1" applyBorder="1" applyAlignment="1" applyProtection="1">
      <alignment vertical="center"/>
    </xf>
    <xf numFmtId="0" fontId="2" fillId="9" borderId="15" xfId="0" applyFont="1" applyFill="1" applyBorder="1" applyAlignment="1">
      <alignment vertical="center"/>
    </xf>
    <xf numFmtId="4" fontId="52" fillId="0" borderId="0" xfId="0" applyNumberFormat="1" applyFont="1"/>
    <xf numFmtId="176" fontId="7" fillId="4" borderId="0" xfId="0" applyNumberFormat="1" applyFont="1" applyFill="1" applyBorder="1" applyAlignment="1" applyProtection="1">
      <alignment horizontal="right" vertical="center"/>
    </xf>
    <xf numFmtId="176" fontId="0" fillId="0" borderId="0" xfId="0" applyNumberFormat="1"/>
    <xf numFmtId="0" fontId="0" fillId="0" borderId="0" xfId="0" applyAlignment="1">
      <alignment vertical="center"/>
    </xf>
    <xf numFmtId="166" fontId="32" fillId="0" borderId="0" xfId="0" applyNumberFormat="1" applyFont="1" applyFill="1" applyBorder="1" applyAlignment="1" applyProtection="1">
      <alignment horizontal="center" vertical="center"/>
    </xf>
    <xf numFmtId="4" fontId="7" fillId="1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166" fontId="3" fillId="0" borderId="7" xfId="0" applyNumberFormat="1" applyFont="1" applyFill="1" applyBorder="1" applyAlignment="1" applyProtection="1">
      <alignment horizontal="center" vertical="center"/>
    </xf>
    <xf numFmtId="166" fontId="3" fillId="0" borderId="10" xfId="0" applyNumberFormat="1" applyFont="1" applyFill="1" applyBorder="1" applyAlignment="1" applyProtection="1">
      <alignment horizontal="center" vertical="center"/>
    </xf>
    <xf numFmtId="0" fontId="3" fillId="0" borderId="10" xfId="0" applyFont="1" applyFill="1" applyBorder="1" applyAlignment="1">
      <alignment horizontal="center" vertical="center"/>
    </xf>
    <xf numFmtId="166" fontId="3" fillId="0" borderId="21" xfId="0" applyNumberFormat="1" applyFont="1" applyFill="1" applyBorder="1" applyAlignment="1" applyProtection="1">
      <alignment horizontal="center" vertical="center"/>
    </xf>
    <xf numFmtId="166" fontId="3" fillId="0" borderId="22" xfId="0" applyNumberFormat="1" applyFont="1" applyFill="1" applyBorder="1" applyAlignment="1" applyProtection="1">
      <alignment horizontal="center" vertical="center"/>
    </xf>
    <xf numFmtId="0" fontId="3" fillId="0" borderId="22" xfId="0" applyFont="1" applyFill="1" applyBorder="1" applyAlignment="1">
      <alignment horizontal="center" vertical="center"/>
    </xf>
    <xf numFmtId="166" fontId="3" fillId="0" borderId="4" xfId="0" applyNumberFormat="1" applyFont="1" applyFill="1" applyBorder="1" applyAlignment="1" applyProtection="1">
      <alignment horizontal="center" vertical="center"/>
    </xf>
    <xf numFmtId="166" fontId="3" fillId="0" borderId="14" xfId="0" applyNumberFormat="1" applyFont="1" applyFill="1" applyBorder="1" applyAlignment="1" applyProtection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/>
    </xf>
    <xf numFmtId="4" fontId="3" fillId="0" borderId="2" xfId="0" applyNumberFormat="1" applyFont="1" applyFill="1" applyBorder="1" applyAlignment="1">
      <alignment horizontal="center" vertical="center"/>
    </xf>
    <xf numFmtId="4" fontId="3" fillId="0" borderId="6" xfId="0" applyNumberFormat="1" applyFont="1" applyFill="1" applyBorder="1" applyAlignment="1">
      <alignment horizontal="center" vertical="center"/>
    </xf>
    <xf numFmtId="2" fontId="3" fillId="0" borderId="1" xfId="0" applyNumberFormat="1" applyFont="1" applyFill="1" applyBorder="1" applyAlignment="1">
      <alignment horizontal="center" vertical="center"/>
    </xf>
    <xf numFmtId="4" fontId="3" fillId="0" borderId="4" xfId="0" applyNumberFormat="1" applyFont="1" applyFill="1" applyBorder="1" applyAlignment="1">
      <alignment horizontal="center" vertical="center"/>
    </xf>
    <xf numFmtId="2" fontId="3" fillId="0" borderId="2" xfId="0" applyNumberFormat="1" applyFont="1" applyFill="1" applyBorder="1" applyAlignment="1">
      <alignment horizontal="center" vertical="center"/>
    </xf>
    <xf numFmtId="4" fontId="3" fillId="0" borderId="5" xfId="0" applyNumberFormat="1" applyFont="1" applyFill="1" applyBorder="1" applyAlignment="1">
      <alignment horizontal="center" vertical="center"/>
    </xf>
    <xf numFmtId="2" fontId="3" fillId="0" borderId="6" xfId="0" applyNumberFormat="1" applyFont="1" applyFill="1" applyBorder="1" applyAlignment="1">
      <alignment horizontal="center" vertical="center"/>
    </xf>
    <xf numFmtId="4" fontId="3" fillId="0" borderId="7" xfId="0" applyNumberFormat="1" applyFont="1" applyFill="1" applyBorder="1" applyAlignment="1">
      <alignment horizontal="center" vertical="center"/>
    </xf>
    <xf numFmtId="4" fontId="1" fillId="0" borderId="3" xfId="0" applyNumberFormat="1" applyFont="1" applyBorder="1" applyAlignment="1">
      <alignment horizontal="center"/>
    </xf>
    <xf numFmtId="4" fontId="1" fillId="0" borderId="3" xfId="2" applyNumberFormat="1" applyFont="1" applyFill="1" applyBorder="1" applyAlignment="1">
      <alignment horizontal="center" vertical="center"/>
    </xf>
    <xf numFmtId="164" fontId="3" fillId="0" borderId="0" xfId="2" applyFont="1" applyFill="1" applyBorder="1" applyAlignment="1">
      <alignment horizontal="center" vertical="center"/>
    </xf>
    <xf numFmtId="4" fontId="7" fillId="4" borderId="0" xfId="0" applyNumberFormat="1" applyFont="1" applyFill="1" applyAlignment="1" applyProtection="1">
      <alignment horizontal="center" vertical="center"/>
    </xf>
    <xf numFmtId="4" fontId="7" fillId="0" borderId="6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9" fontId="45" fillId="0" borderId="0" xfId="12" applyFont="1"/>
    <xf numFmtId="10" fontId="36" fillId="0" borderId="0" xfId="12" applyNumberFormat="1" applyFont="1"/>
    <xf numFmtId="4" fontId="0" fillId="0" borderId="3" xfId="0" applyNumberFormat="1" applyBorder="1" applyAlignment="1">
      <alignment vertical="center"/>
    </xf>
    <xf numFmtId="4" fontId="8" fillId="0" borderId="0" xfId="0" applyNumberFormat="1" applyFont="1" applyFill="1" applyBorder="1" applyAlignment="1" applyProtection="1">
      <alignment horizontal="center" vertical="center"/>
    </xf>
    <xf numFmtId="4" fontId="8" fillId="0" borderId="0" xfId="0" applyNumberFormat="1" applyFont="1" applyFill="1" applyAlignment="1" applyProtection="1">
      <alignment vertical="center"/>
    </xf>
    <xf numFmtId="4" fontId="9" fillId="0" borderId="14" xfId="0" applyNumberFormat="1" applyFont="1" applyFill="1" applyBorder="1" applyAlignment="1" applyProtection="1">
      <alignment vertical="center"/>
    </xf>
    <xf numFmtId="4" fontId="8" fillId="0" borderId="14" xfId="0" applyNumberFormat="1" applyFont="1" applyFill="1" applyBorder="1" applyAlignment="1" applyProtection="1">
      <alignment horizontal="center" vertical="center"/>
    </xf>
    <xf numFmtId="0" fontId="9" fillId="0" borderId="14" xfId="0" applyFont="1" applyFill="1" applyBorder="1" applyAlignment="1">
      <alignment vertical="center"/>
    </xf>
    <xf numFmtId="0" fontId="0" fillId="0" borderId="3" xfId="0" applyBorder="1" applyAlignment="1">
      <alignment horizontal="center" vertical="center"/>
    </xf>
    <xf numFmtId="4" fontId="0" fillId="0" borderId="3" xfId="0" applyNumberFormat="1" applyBorder="1" applyAlignment="1">
      <alignment horizontal="center" vertical="center"/>
    </xf>
    <xf numFmtId="0" fontId="20" fillId="0" borderId="3" xfId="0" applyFont="1" applyBorder="1" applyAlignment="1">
      <alignment vertical="center"/>
    </xf>
    <xf numFmtId="0" fontId="20" fillId="0" borderId="3" xfId="0" applyFont="1" applyBorder="1" applyAlignment="1">
      <alignment vertical="center" wrapText="1"/>
    </xf>
    <xf numFmtId="0" fontId="7" fillId="0" borderId="0" xfId="0" applyFont="1" applyAlignment="1">
      <alignment vertical="center"/>
    </xf>
    <xf numFmtId="0" fontId="7" fillId="0" borderId="3" xfId="0" applyFont="1" applyBorder="1" applyAlignment="1">
      <alignment horizontal="center" vertical="center"/>
    </xf>
    <xf numFmtId="4" fontId="7" fillId="0" borderId="3" xfId="0" applyNumberFormat="1" applyFont="1" applyBorder="1" applyAlignment="1">
      <alignment horizontal="center" vertical="center"/>
    </xf>
    <xf numFmtId="4" fontId="7" fillId="0" borderId="3" xfId="0" applyNumberFormat="1" applyFont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 applyProtection="1">
      <alignment horizontal="center" vertical="center" wrapText="1"/>
    </xf>
    <xf numFmtId="10" fontId="12" fillId="2" borderId="0" xfId="12" applyNumberFormat="1" applyFont="1" applyFill="1" applyAlignment="1">
      <alignment vertical="center"/>
    </xf>
    <xf numFmtId="4" fontId="56" fillId="0" borderId="3" xfId="0" applyNumberFormat="1" applyFont="1" applyFill="1" applyBorder="1" applyAlignment="1" applyProtection="1">
      <alignment vertical="center"/>
    </xf>
    <xf numFmtId="2" fontId="57" fillId="0" borderId="3" xfId="0" applyNumberFormat="1" applyFont="1" applyFill="1" applyBorder="1" applyAlignment="1" applyProtection="1">
      <alignment horizontal="right" vertical="center"/>
    </xf>
    <xf numFmtId="4" fontId="1" fillId="0" borderId="3" xfId="0" applyNumberFormat="1" applyFont="1" applyFill="1" applyBorder="1" applyAlignment="1" applyProtection="1">
      <alignment horizontal="right" vertical="center"/>
    </xf>
    <xf numFmtId="4" fontId="12" fillId="2" borderId="3" xfId="0" applyNumberFormat="1" applyFont="1" applyFill="1" applyBorder="1" applyAlignment="1" applyProtection="1">
      <alignment horizontal="right"/>
    </xf>
    <xf numFmtId="2" fontId="19" fillId="0" borderId="3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>
      <alignment vertical="center"/>
    </xf>
    <xf numFmtId="165" fontId="12" fillId="0" borderId="3" xfId="3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right" vertical="center"/>
    </xf>
    <xf numFmtId="4" fontId="56" fillId="0" borderId="0" xfId="0" applyNumberFormat="1" applyFont="1" applyFill="1" applyBorder="1" applyAlignment="1" applyProtection="1">
      <alignment vertical="center"/>
    </xf>
    <xf numFmtId="0" fontId="56" fillId="0" borderId="0" xfId="0" applyFont="1" applyFill="1" applyAlignment="1">
      <alignment vertical="center"/>
    </xf>
    <xf numFmtId="177" fontId="36" fillId="0" borderId="0" xfId="12" applyNumberFormat="1" applyFont="1"/>
    <xf numFmtId="0" fontId="61" fillId="0" borderId="28" xfId="0" applyFont="1" applyFill="1" applyBorder="1"/>
    <xf numFmtId="0" fontId="61" fillId="0" borderId="0" xfId="0" applyFont="1" applyFill="1" applyBorder="1"/>
    <xf numFmtId="0" fontId="61" fillId="0" borderId="29" xfId="0" applyFont="1" applyFill="1" applyBorder="1"/>
    <xf numFmtId="0" fontId="64" fillId="0" borderId="0" xfId="0" applyFont="1" applyFill="1" applyBorder="1"/>
    <xf numFmtId="0" fontId="65" fillId="0" borderId="29" xfId="0" applyFont="1" applyFill="1" applyBorder="1"/>
    <xf numFmtId="0" fontId="67" fillId="0" borderId="0" xfId="0" applyFont="1" applyFill="1" applyBorder="1"/>
    <xf numFmtId="0" fontId="68" fillId="0" borderId="0" xfId="0" applyFont="1" applyFill="1" applyBorder="1"/>
    <xf numFmtId="4" fontId="68" fillId="0" borderId="29" xfId="0" applyNumberFormat="1" applyFont="1" applyFill="1" applyBorder="1" applyAlignment="1">
      <alignment horizontal="center"/>
    </xf>
    <xf numFmtId="0" fontId="63" fillId="0" borderId="0" xfId="0" applyFont="1" applyFill="1" applyBorder="1" applyAlignment="1">
      <alignment horizontal="center"/>
    </xf>
    <xf numFmtId="172" fontId="68" fillId="0" borderId="29" xfId="0" applyNumberFormat="1" applyFont="1" applyFill="1" applyBorder="1" applyAlignment="1"/>
    <xf numFmtId="0" fontId="63" fillId="0" borderId="0" xfId="0" applyFont="1" applyFill="1" applyBorder="1" applyAlignment="1">
      <alignment horizontal="left"/>
    </xf>
    <xf numFmtId="0" fontId="63" fillId="0" borderId="29" xfId="0" applyFont="1" applyFill="1" applyBorder="1" applyAlignment="1">
      <alignment horizontal="center"/>
    </xf>
    <xf numFmtId="2" fontId="64" fillId="0" borderId="0" xfId="0" applyNumberFormat="1" applyFont="1" applyFill="1" applyBorder="1" applyAlignment="1">
      <alignment horizontal="center"/>
    </xf>
    <xf numFmtId="0" fontId="70" fillId="0" borderId="0" xfId="0" applyFont="1" applyFill="1" applyBorder="1"/>
    <xf numFmtId="0" fontId="68" fillId="0" borderId="0" xfId="0" applyFont="1" applyFill="1" applyBorder="1" applyAlignment="1">
      <alignment horizontal="center"/>
    </xf>
    <xf numFmtId="4" fontId="61" fillId="0" borderId="29" xfId="0" applyNumberFormat="1" applyFont="1" applyFill="1" applyBorder="1"/>
    <xf numFmtId="0" fontId="61" fillId="0" borderId="0" xfId="0" applyFont="1" applyFill="1" applyBorder="1" applyAlignment="1">
      <alignment horizontal="left"/>
    </xf>
    <xf numFmtId="10" fontId="68" fillId="0" borderId="0" xfId="0" applyNumberFormat="1" applyFont="1" applyFill="1" applyBorder="1"/>
    <xf numFmtId="0" fontId="68" fillId="0" borderId="0" xfId="0" applyFont="1" applyFill="1" applyBorder="1" applyAlignment="1">
      <alignment horizontal="left"/>
    </xf>
    <xf numFmtId="172" fontId="61" fillId="0" borderId="29" xfId="0" applyNumberFormat="1" applyFont="1" applyFill="1" applyBorder="1" applyAlignment="1">
      <alignment horizontal="center"/>
    </xf>
    <xf numFmtId="10" fontId="68" fillId="0" borderId="0" xfId="12" applyNumberFormat="1" applyFont="1" applyFill="1" applyBorder="1" applyAlignment="1">
      <alignment horizontal="left"/>
    </xf>
    <xf numFmtId="0" fontId="71" fillId="0" borderId="0" xfId="0" applyFont="1" applyFill="1" applyBorder="1"/>
    <xf numFmtId="10" fontId="68" fillId="0" borderId="0" xfId="12" applyNumberFormat="1" applyFont="1" applyFill="1" applyBorder="1"/>
    <xf numFmtId="172" fontId="68" fillId="0" borderId="29" xfId="0" applyNumberFormat="1" applyFont="1" applyFill="1" applyBorder="1" applyAlignment="1">
      <alignment horizontal="center"/>
    </xf>
    <xf numFmtId="0" fontId="72" fillId="0" borderId="0" xfId="0" applyFont="1" applyFill="1" applyBorder="1"/>
    <xf numFmtId="10" fontId="72" fillId="0" borderId="0" xfId="12" applyNumberFormat="1" applyFont="1" applyFill="1" applyBorder="1"/>
    <xf numFmtId="0" fontId="73" fillId="0" borderId="0" xfId="0" applyFont="1" applyFill="1" applyBorder="1" applyAlignment="1">
      <alignment horizontal="center"/>
    </xf>
    <xf numFmtId="4" fontId="72" fillId="0" borderId="29" xfId="0" applyNumberFormat="1" applyFont="1" applyFill="1" applyBorder="1"/>
    <xf numFmtId="0" fontId="74" fillId="0" borderId="0" xfId="0" applyFont="1" applyFill="1" applyBorder="1"/>
    <xf numFmtId="0" fontId="75" fillId="0" borderId="0" xfId="0" applyFont="1" applyFill="1" applyBorder="1"/>
    <xf numFmtId="10" fontId="75" fillId="0" borderId="0" xfId="12" applyNumberFormat="1" applyFont="1" applyFill="1" applyBorder="1"/>
    <xf numFmtId="0" fontId="76" fillId="0" borderId="0" xfId="0" applyFont="1" applyFill="1" applyBorder="1" applyAlignment="1">
      <alignment horizontal="center"/>
    </xf>
    <xf numFmtId="172" fontId="75" fillId="0" borderId="29" xfId="0" applyNumberFormat="1" applyFont="1" applyFill="1" applyBorder="1" applyAlignment="1">
      <alignment horizontal="center"/>
    </xf>
    <xf numFmtId="10" fontId="61" fillId="0" borderId="0" xfId="12" applyNumberFormat="1" applyFont="1" applyFill="1" applyBorder="1"/>
    <xf numFmtId="0" fontId="61" fillId="0" borderId="29" xfId="0" applyFont="1" applyFill="1" applyBorder="1" applyAlignment="1">
      <alignment horizontal="right"/>
    </xf>
    <xf numFmtId="10" fontId="61" fillId="0" borderId="0" xfId="12" applyNumberFormat="1" applyFont="1" applyFill="1" applyBorder="1" applyAlignment="1">
      <alignment horizontal="left"/>
    </xf>
    <xf numFmtId="174" fontId="61" fillId="0" borderId="29" xfId="0" applyNumberFormat="1" applyFont="1" applyFill="1" applyBorder="1" applyAlignment="1">
      <alignment horizontal="center"/>
    </xf>
    <xf numFmtId="172" fontId="61" fillId="0" borderId="31" xfId="0" applyNumberFormat="1" applyFont="1" applyFill="1" applyBorder="1" applyAlignment="1">
      <alignment horizontal="center"/>
    </xf>
    <xf numFmtId="172" fontId="77" fillId="0" borderId="29" xfId="0" applyNumberFormat="1" applyFont="1" applyFill="1" applyBorder="1" applyAlignment="1">
      <alignment horizontal="center"/>
    </xf>
    <xf numFmtId="0" fontId="61" fillId="0" borderId="30" xfId="0" applyFont="1" applyBorder="1"/>
    <xf numFmtId="0" fontId="61" fillId="0" borderId="24" xfId="0" applyFont="1" applyBorder="1"/>
    <xf numFmtId="0" fontId="61" fillId="0" borderId="31" xfId="0" applyFont="1" applyBorder="1" applyAlignment="1">
      <alignment horizontal="left"/>
    </xf>
    <xf numFmtId="177" fontId="58" fillId="0" borderId="0" xfId="12" applyNumberFormat="1" applyFont="1"/>
    <xf numFmtId="0" fontId="62" fillId="12" borderId="33" xfId="0" applyFont="1" applyFill="1" applyBorder="1" applyAlignment="1">
      <alignment horizontal="center" vertical="center" wrapText="1"/>
    </xf>
    <xf numFmtId="0" fontId="62" fillId="12" borderId="32" xfId="0" applyFont="1" applyFill="1" applyBorder="1" applyAlignment="1">
      <alignment horizontal="center" vertical="center" wrapText="1"/>
    </xf>
    <xf numFmtId="0" fontId="62" fillId="12" borderId="39" xfId="0" applyFont="1" applyFill="1" applyBorder="1" applyAlignment="1">
      <alignment horizontal="center" vertical="center" wrapText="1"/>
    </xf>
    <xf numFmtId="0" fontId="69" fillId="0" borderId="0" xfId="0" applyFont="1" applyFill="1" applyBorder="1" applyAlignment="1">
      <alignment horizontal="center"/>
    </xf>
    <xf numFmtId="0" fontId="69" fillId="0" borderId="29" xfId="0" applyFont="1" applyFill="1" applyBorder="1" applyAlignment="1">
      <alignment horizontal="center"/>
    </xf>
    <xf numFmtId="0" fontId="68" fillId="0" borderId="36" xfId="0" applyFont="1" applyBorder="1" applyAlignment="1">
      <alignment horizontal="center" vertical="center" wrapText="1"/>
    </xf>
    <xf numFmtId="0" fontId="68" fillId="0" borderId="37" xfId="0" applyFont="1" applyBorder="1" applyAlignment="1">
      <alignment horizontal="center" vertical="center" wrapText="1"/>
    </xf>
    <xf numFmtId="0" fontId="68" fillId="0" borderId="38" xfId="0" applyFont="1" applyBorder="1" applyAlignment="1">
      <alignment horizontal="center" vertical="center" wrapText="1"/>
    </xf>
    <xf numFmtId="0" fontId="68" fillId="0" borderId="28" xfId="0" applyFont="1" applyBorder="1" applyAlignment="1">
      <alignment horizontal="center" vertical="center" wrapText="1"/>
    </xf>
    <xf numFmtId="0" fontId="68" fillId="0" borderId="0" xfId="0" applyFont="1" applyBorder="1" applyAlignment="1">
      <alignment horizontal="center" vertical="center" wrapText="1"/>
    </xf>
    <xf numFmtId="0" fontId="68" fillId="0" borderId="29" xfId="0" applyFont="1" applyBorder="1" applyAlignment="1">
      <alignment horizontal="center" vertical="center" wrapText="1"/>
    </xf>
    <xf numFmtId="0" fontId="68" fillId="0" borderId="30" xfId="0" applyFont="1" applyBorder="1" applyAlignment="1">
      <alignment horizontal="center" vertical="center" wrapText="1"/>
    </xf>
    <xf numFmtId="0" fontId="68" fillId="0" borderId="24" xfId="0" applyFont="1" applyBorder="1" applyAlignment="1">
      <alignment horizontal="center" vertical="center" wrapText="1"/>
    </xf>
    <xf numFmtId="0" fontId="68" fillId="0" borderId="31" xfId="0" applyFont="1" applyBorder="1" applyAlignment="1">
      <alignment horizontal="center" vertical="center" wrapText="1"/>
    </xf>
    <xf numFmtId="0" fontId="60" fillId="10" borderId="0" xfId="0" applyFont="1" applyFill="1" applyBorder="1" applyAlignment="1">
      <alignment horizontal="center" vertical="center" wrapText="1"/>
    </xf>
    <xf numFmtId="0" fontId="61" fillId="10" borderId="0" xfId="0" applyFont="1" applyFill="1" applyBorder="1" applyAlignment="1">
      <alignment horizontal="center" vertical="center"/>
    </xf>
    <xf numFmtId="0" fontId="59" fillId="12" borderId="33" xfId="0" applyFont="1" applyFill="1" applyBorder="1" applyAlignment="1">
      <alignment horizontal="center" vertical="center" wrapText="1"/>
    </xf>
    <xf numFmtId="0" fontId="59" fillId="12" borderId="32" xfId="0" applyFont="1" applyFill="1" applyBorder="1" applyAlignment="1">
      <alignment horizontal="center" vertical="center" wrapText="1"/>
    </xf>
    <xf numFmtId="0" fontId="59" fillId="12" borderId="39" xfId="0" applyFont="1" applyFill="1" applyBorder="1" applyAlignment="1">
      <alignment horizontal="center" vertical="center" wrapText="1"/>
    </xf>
    <xf numFmtId="166" fontId="4" fillId="9" borderId="4" xfId="0" applyNumberFormat="1" applyFont="1" applyFill="1" applyBorder="1" applyAlignment="1" applyProtection="1">
      <alignment horizontal="center" vertical="center"/>
    </xf>
    <xf numFmtId="166" fontId="4" fillId="9" borderId="14" xfId="0" applyNumberFormat="1" applyFont="1" applyFill="1" applyBorder="1" applyAlignment="1" applyProtection="1">
      <alignment horizontal="center" vertical="center"/>
    </xf>
    <xf numFmtId="4" fontId="10" fillId="3" borderId="34" xfId="0" applyNumberFormat="1" applyFont="1" applyFill="1" applyBorder="1" applyAlignment="1" applyProtection="1">
      <alignment horizontal="center" vertical="center"/>
    </xf>
    <xf numFmtId="4" fontId="10" fillId="3" borderId="35" xfId="0" applyNumberFormat="1" applyFont="1" applyFill="1" applyBorder="1" applyAlignment="1" applyProtection="1">
      <alignment horizontal="center" vertical="center"/>
    </xf>
    <xf numFmtId="4" fontId="10" fillId="3" borderId="19" xfId="0" applyNumberFormat="1" applyFont="1" applyFill="1" applyBorder="1" applyAlignment="1" applyProtection="1">
      <alignment horizontal="center" vertical="center"/>
    </xf>
    <xf numFmtId="4" fontId="10" fillId="3" borderId="23" xfId="0" applyNumberFormat="1" applyFont="1" applyFill="1" applyBorder="1" applyAlignment="1" applyProtection="1">
      <alignment horizontal="center" vertical="center"/>
    </xf>
    <xf numFmtId="166" fontId="7" fillId="0" borderId="0" xfId="0" applyNumberFormat="1" applyFont="1" applyFill="1" applyAlignment="1" applyProtection="1">
      <alignment horizontal="left" vertical="center" wrapText="1"/>
    </xf>
    <xf numFmtId="166" fontId="4" fillId="9" borderId="5" xfId="0" applyNumberFormat="1" applyFont="1" applyFill="1" applyBorder="1" applyAlignment="1" applyProtection="1">
      <alignment horizontal="center" vertical="center"/>
    </xf>
    <xf numFmtId="166" fontId="4" fillId="9" borderId="0" xfId="0" applyNumberFormat="1" applyFont="1" applyFill="1" applyBorder="1" applyAlignment="1" applyProtection="1">
      <alignment horizontal="center" vertical="center"/>
    </xf>
    <xf numFmtId="166" fontId="8" fillId="0" borderId="0" xfId="0" applyNumberFormat="1" applyFont="1" applyFill="1" applyBorder="1" applyAlignment="1" applyProtection="1">
      <alignment horizontal="center" vertical="center" wrapText="1"/>
    </xf>
    <xf numFmtId="0" fontId="53" fillId="11" borderId="33" xfId="0" applyFont="1" applyFill="1" applyBorder="1" applyAlignment="1">
      <alignment horizontal="center" vertical="center" wrapText="1"/>
    </xf>
    <xf numFmtId="0" fontId="53" fillId="11" borderId="32" xfId="0" applyFont="1" applyFill="1" applyBorder="1" applyAlignment="1">
      <alignment horizontal="center" vertical="center" wrapText="1"/>
    </xf>
    <xf numFmtId="4" fontId="7" fillId="0" borderId="21" xfId="0" applyNumberFormat="1" applyFont="1" applyFill="1" applyBorder="1" applyAlignment="1">
      <alignment horizontal="center" vertical="center"/>
    </xf>
    <xf numFmtId="4" fontId="7" fillId="0" borderId="22" xfId="0" applyNumberFormat="1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>
      <alignment horizontal="center" vertical="center"/>
    </xf>
    <xf numFmtId="166" fontId="32" fillId="0" borderId="0" xfId="0" applyNumberFormat="1" applyFont="1" applyFill="1" applyBorder="1" applyAlignment="1" applyProtection="1">
      <alignment horizontal="center" vertical="center"/>
    </xf>
    <xf numFmtId="0" fontId="33" fillId="0" borderId="0" xfId="0" applyFont="1"/>
    <xf numFmtId="166" fontId="7" fillId="7" borderId="33" xfId="0" applyNumberFormat="1" applyFont="1" applyFill="1" applyBorder="1" applyAlignment="1" applyProtection="1">
      <alignment horizontal="center" vertical="center"/>
    </xf>
    <xf numFmtId="0" fontId="0" fillId="0" borderId="32" xfId="0" applyBorder="1"/>
    <xf numFmtId="0" fontId="0" fillId="0" borderId="27" xfId="0" applyBorder="1"/>
    <xf numFmtId="4" fontId="7" fillId="10" borderId="0" xfId="0" applyNumberFormat="1" applyFont="1" applyFill="1" applyBorder="1" applyAlignment="1" applyProtection="1">
      <alignment horizontal="center" vertical="center"/>
    </xf>
    <xf numFmtId="166" fontId="7" fillId="7" borderId="26" xfId="0" applyNumberFormat="1" applyFont="1" applyFill="1" applyBorder="1" applyAlignment="1" applyProtection="1">
      <alignment horizontal="center" vertical="center"/>
    </xf>
    <xf numFmtId="0" fontId="0" fillId="0" borderId="32" xfId="0" applyBorder="1" applyAlignment="1">
      <alignment horizontal="center"/>
    </xf>
    <xf numFmtId="0" fontId="0" fillId="0" borderId="27" xfId="0" applyBorder="1" applyAlignment="1">
      <alignment horizont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Border="1"/>
    <xf numFmtId="4" fontId="8" fillId="0" borderId="10" xfId="0" applyNumberFormat="1" applyFont="1" applyFill="1" applyBorder="1" applyAlignment="1" applyProtection="1">
      <alignment horizontal="center" vertical="center"/>
    </xf>
    <xf numFmtId="4" fontId="7" fillId="0" borderId="21" xfId="0" applyNumberFormat="1" applyFont="1" applyFill="1" applyBorder="1" applyAlignment="1" applyProtection="1">
      <alignment horizontal="center" vertical="center"/>
    </xf>
    <xf numFmtId="0" fontId="0" fillId="0" borderId="22" xfId="0" applyBorder="1"/>
    <xf numFmtId="0" fontId="0" fillId="0" borderId="8" xfId="0" applyBorder="1"/>
    <xf numFmtId="4" fontId="7" fillId="0" borderId="22" xfId="0" applyNumberFormat="1" applyFont="1" applyFill="1" applyBorder="1" applyAlignment="1" applyProtection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0" fontId="54" fillId="11" borderId="33" xfId="0" applyFont="1" applyFill="1" applyBorder="1" applyAlignment="1">
      <alignment horizontal="center" vertical="center" wrapText="1"/>
    </xf>
    <xf numFmtId="0" fontId="54" fillId="11" borderId="32" xfId="0" applyFont="1" applyFill="1" applyBorder="1" applyAlignment="1">
      <alignment horizontal="center" vertical="center" wrapText="1"/>
    </xf>
    <xf numFmtId="166" fontId="1" fillId="10" borderId="0" xfId="0" applyNumberFormat="1" applyFont="1" applyFill="1" applyAlignment="1" applyProtection="1">
      <alignment horizontal="left" vertical="center"/>
    </xf>
    <xf numFmtId="166" fontId="15" fillId="7" borderId="23" xfId="5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4" fontId="15" fillId="0" borderId="21" xfId="0" applyNumberFormat="1" applyFont="1" applyFill="1" applyBorder="1" applyAlignment="1" applyProtection="1">
      <alignment horizontal="center" vertical="center"/>
    </xf>
    <xf numFmtId="4" fontId="15" fillId="0" borderId="22" xfId="0" applyNumberFormat="1" applyFont="1" applyFill="1" applyBorder="1" applyAlignment="1" applyProtection="1">
      <alignment horizontal="center" vertical="center"/>
    </xf>
    <xf numFmtId="4" fontId="15" fillId="0" borderId="8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39" fontId="15" fillId="2" borderId="34" xfId="5" applyNumberFormat="1" applyFont="1" applyFill="1" applyBorder="1" applyAlignment="1" applyProtection="1">
      <alignment horizontal="center" vertical="center"/>
    </xf>
    <xf numFmtId="39" fontId="15" fillId="2" borderId="35" xfId="5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66" fontId="23" fillId="0" borderId="0" xfId="0" quotePrefix="1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>
      <alignment horizontal="center" vertical="center"/>
    </xf>
    <xf numFmtId="4" fontId="29" fillId="0" borderId="21" xfId="0" applyNumberFormat="1" applyFont="1" applyFill="1" applyBorder="1" applyAlignment="1" applyProtection="1">
      <alignment horizontal="center" vertical="center"/>
    </xf>
    <xf numFmtId="4" fontId="29" fillId="0" borderId="22" xfId="0" applyNumberFormat="1" applyFont="1" applyFill="1" applyBorder="1" applyAlignment="1" applyProtection="1">
      <alignment horizontal="center" vertical="center"/>
    </xf>
    <xf numFmtId="4" fontId="29" fillId="0" borderId="8" xfId="0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Alignment="1" applyProtection="1">
      <alignment horizontal="center" vertical="center"/>
    </xf>
    <xf numFmtId="166" fontId="12" fillId="0" borderId="0" xfId="0" applyNumberFormat="1" applyFont="1" applyFill="1" applyAlignment="1" applyProtection="1">
      <alignment horizontal="left" vertical="center" wrapText="1"/>
    </xf>
    <xf numFmtId="4" fontId="29" fillId="0" borderId="3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166" fontId="25" fillId="0" borderId="0" xfId="0" applyNumberFormat="1" applyFont="1" applyFill="1" applyBorder="1" applyAlignment="1" applyProtection="1">
      <alignment horizontal="center" vertical="center"/>
    </xf>
    <xf numFmtId="166" fontId="25" fillId="0" borderId="0" xfId="0" quotePrefix="1" applyNumberFormat="1" applyFont="1" applyFill="1" applyBorder="1" applyAlignment="1" applyProtection="1">
      <alignment horizontal="center" vertical="center"/>
    </xf>
    <xf numFmtId="166" fontId="15" fillId="0" borderId="0" xfId="0" applyNumberFormat="1" applyFont="1" applyFill="1" applyAlignment="1" applyProtection="1">
      <alignment horizontal="left" vertical="center" wrapText="1"/>
    </xf>
    <xf numFmtId="0" fontId="54" fillId="11" borderId="39" xfId="0" applyFont="1" applyFill="1" applyBorder="1" applyAlignment="1">
      <alignment horizontal="center" vertical="center" wrapText="1"/>
    </xf>
    <xf numFmtId="4" fontId="12" fillId="0" borderId="3" xfId="0" applyNumberFormat="1" applyFont="1" applyFill="1" applyBorder="1" applyAlignment="1">
      <alignment horizontal="center" vertical="center"/>
    </xf>
  </cellXfs>
  <cellStyles count="13">
    <cellStyle name="Millares" xfId="1" builtinId="3"/>
    <cellStyle name="Millares 2" xfId="2"/>
    <cellStyle name="Moneda" xfId="3" builtinId="4"/>
    <cellStyle name="Moneda 2" xfId="4"/>
    <cellStyle name="Normal" xfId="0" builtinId="0"/>
    <cellStyle name="Normal 2" xfId="5"/>
    <cellStyle name="Normal 2 2" xfId="6"/>
    <cellStyle name="Normal 2 3" xfId="7"/>
    <cellStyle name="Normal 3" xfId="8"/>
    <cellStyle name="Normal 4" xfId="9"/>
    <cellStyle name="Normal 5" xfId="10"/>
    <cellStyle name="Porcentaje" xfId="12" builtinId="5"/>
    <cellStyle name="Porcentaje 2" xfId="11"/>
  </cellStyles>
  <dxfs count="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user5\Desktop\EXPEDIENTES%202013\EXPEDIENTE%20TECNICO%20AURORA%20INESTEJADA\14.%20DESAGREGADO%20DE%20GASTOS%20GENERALES\PRESUPUESTO%20ANALITICO%20AURORA%20INES%20TEJADA%20ADM%20DIRECTA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Users\ADMINISTRADOR1\Desktop\IOARR%20RESIDOS%20SOLIDOS\EXPEDIENTE%20TECNICO%20IOARR%20-%20RESIDOS%20SOLIDOS\insumos%20ioarr%20r.s.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irecto"/>
      <sheetName val="C.Indirecto"/>
      <sheetName val="G.General"/>
      <sheetName val="Exp.Téc. "/>
      <sheetName val="Supervision"/>
      <sheetName val="Liquidacion"/>
      <sheetName val="Capacitacion Social"/>
    </sheetNames>
    <sheetDataSet>
      <sheetData sheetId="0">
        <row r="9">
          <cell r="C9" t="str">
            <v>:</v>
          </cell>
        </row>
        <row r="10">
          <cell r="C10" t="str">
            <v>:</v>
          </cell>
        </row>
        <row r="17">
          <cell r="A17" t="str">
            <v>2.6.2.2.2.4</v>
          </cell>
        </row>
        <row r="18">
          <cell r="A18" t="str">
            <v>2.6.2.2.2.5</v>
          </cell>
        </row>
        <row r="19">
          <cell r="A19" t="str">
            <v>2.6.2.2.2.6</v>
          </cell>
        </row>
        <row r="20">
          <cell r="A20" t="str">
            <v>2.6.2.2.2.7</v>
          </cell>
        </row>
      </sheetData>
      <sheetData sheetId="1"/>
      <sheetData sheetId="2"/>
      <sheetData sheetId="3"/>
      <sheetData sheetId="4"/>
      <sheetData sheetId="5"/>
      <sheetData sheetId="6">
        <row r="16">
          <cell r="J16">
            <v>1472942.39</v>
          </cell>
        </row>
      </sheetData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6">
          <cell r="E16" t="str">
            <v>ESTUDIO DE SONDEO ELECTRICO VERTICAL -SEV (PROFUNDIDAD 50 M)</v>
          </cell>
        </row>
        <row r="48">
          <cell r="E48" t="str">
            <v>ESTUDIO GEOLOGICO DEL AREA DEL PROYECTO</v>
          </cell>
        </row>
        <row r="49">
          <cell r="E49" t="str">
            <v>IDENTIFICACION DE PARAMETROS GENERALES</v>
          </cell>
        </row>
        <row r="50">
          <cell r="E50" t="str">
            <v>IDENTIFICACION DE MAPAS TEMATICAS  ( FACTORES CONDICIONANTES Y DESENCADENANTES)</v>
          </cell>
        </row>
        <row r="52">
          <cell r="E52" t="str">
            <v>ANALISIS DE LA PELIGROSIDAD</v>
          </cell>
        </row>
        <row r="53">
          <cell r="E53" t="str">
            <v>ANALISIS DE LA VULNERABILIDAD</v>
          </cell>
        </row>
        <row r="54">
          <cell r="E54" t="str">
            <v>ANALISIS DE RIESGOS</v>
          </cell>
        </row>
        <row r="55">
          <cell r="E55" t="str">
            <v>ESTUDIO DE INFILTRACION  Y PERMEABILIDAD DEL SUELO</v>
          </cell>
        </row>
      </sheetData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irador">
  <a:themeElements>
    <a:clrScheme name="Mirador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Mirador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Mirador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6"/>
  <sheetViews>
    <sheetView tabSelected="1" view="pageBreakPreview" topLeftCell="A4" zoomScale="90" zoomScaleSheetLayoutView="90" workbookViewId="0">
      <selection activeCell="G22" sqref="G22"/>
    </sheetView>
  </sheetViews>
  <sheetFormatPr baseColWidth="10" defaultColWidth="16.28515625" defaultRowHeight="12.75"/>
  <cols>
    <col min="1" max="1" width="16.28515625" customWidth="1"/>
    <col min="2" max="2" width="8.28515625" customWidth="1"/>
    <col min="3" max="3" width="6.5703125" customWidth="1"/>
    <col min="4" max="4" width="32.5703125" customWidth="1"/>
    <col min="5" max="5" width="26" customWidth="1"/>
    <col min="6" max="6" width="19.7109375" customWidth="1"/>
    <col min="7" max="7" width="22.28515625" customWidth="1"/>
    <col min="8" max="8" width="19.85546875" bestFit="1" customWidth="1"/>
  </cols>
  <sheetData>
    <row r="1" spans="2:10" s="299" customFormat="1" ht="13.5" thickBot="1"/>
    <row r="2" spans="2:10" s="299" customFormat="1" ht="26.25" thickBot="1">
      <c r="B2" s="468" t="s">
        <v>301</v>
      </c>
      <c r="C2" s="469"/>
      <c r="D2" s="469"/>
      <c r="E2" s="469"/>
      <c r="F2" s="469"/>
      <c r="G2" s="470"/>
    </row>
    <row r="3" spans="2:10" s="299" customFormat="1" ht="21" thickBot="1">
      <c r="B3" s="466"/>
      <c r="C3" s="467"/>
      <c r="D3" s="467"/>
      <c r="E3" s="467"/>
      <c r="F3" s="467"/>
      <c r="G3" s="467"/>
      <c r="H3" s="281"/>
      <c r="I3" s="281"/>
    </row>
    <row r="4" spans="2:10" ht="109.5" customHeight="1" thickBot="1">
      <c r="B4" s="452" t="s">
        <v>460</v>
      </c>
      <c r="C4" s="453"/>
      <c r="D4" s="453"/>
      <c r="E4" s="453"/>
      <c r="F4" s="453"/>
      <c r="G4" s="454"/>
      <c r="H4" s="283"/>
      <c r="I4" s="284"/>
    </row>
    <row r="5" spans="2:10">
      <c r="B5" s="409"/>
      <c r="C5" s="410"/>
      <c r="D5" s="410"/>
      <c r="E5" s="410"/>
      <c r="F5" s="410"/>
      <c r="G5" s="411"/>
      <c r="H5" s="281"/>
      <c r="I5" s="282"/>
    </row>
    <row r="6" spans="2:10" ht="15.75" customHeight="1">
      <c r="B6" s="409"/>
      <c r="C6" s="410" t="s">
        <v>461</v>
      </c>
      <c r="D6" s="412"/>
      <c r="E6" s="412"/>
      <c r="F6" s="410"/>
      <c r="G6" s="413"/>
      <c r="H6" s="281"/>
    </row>
    <row r="7" spans="2:10" ht="15.75" customHeight="1">
      <c r="B7" s="409"/>
      <c r="C7" s="410" t="s">
        <v>462</v>
      </c>
      <c r="D7" s="412"/>
      <c r="E7" s="412"/>
      <c r="F7" s="410"/>
      <c r="G7" s="411"/>
      <c r="H7" s="281"/>
      <c r="I7" s="282"/>
    </row>
    <row r="8" spans="2:10" ht="15.75" customHeight="1">
      <c r="B8" s="409"/>
      <c r="C8" s="414"/>
      <c r="D8" s="414"/>
      <c r="E8" s="412" t="s">
        <v>1</v>
      </c>
      <c r="F8" s="415"/>
      <c r="G8" s="416" t="s">
        <v>276</v>
      </c>
      <c r="H8" s="281"/>
      <c r="I8" s="285"/>
    </row>
    <row r="9" spans="2:10" ht="15.75" customHeight="1">
      <c r="B9" s="409"/>
      <c r="C9" s="414" t="s">
        <v>277</v>
      </c>
      <c r="D9" s="412"/>
      <c r="E9" s="412"/>
      <c r="F9" s="417"/>
      <c r="G9" s="418">
        <v>441917.83</v>
      </c>
      <c r="H9" s="281"/>
      <c r="I9" s="286">
        <v>353564.87</v>
      </c>
    </row>
    <row r="10" spans="2:10" ht="15.75" customHeight="1">
      <c r="B10" s="409"/>
      <c r="C10" s="410"/>
      <c r="D10" s="410"/>
      <c r="E10" s="410"/>
      <c r="F10" s="410"/>
      <c r="G10" s="411"/>
      <c r="I10" s="287">
        <v>88352.960000000006</v>
      </c>
    </row>
    <row r="11" spans="2:10" ht="25.5" customHeight="1">
      <c r="B11" s="409"/>
      <c r="C11" s="455" t="s">
        <v>278</v>
      </c>
      <c r="D11" s="455"/>
      <c r="E11" s="455"/>
      <c r="F11" s="455"/>
      <c r="G11" s="456"/>
      <c r="H11" s="288"/>
      <c r="I11" s="289">
        <f>SUM(I9:I10)</f>
        <v>441917.83</v>
      </c>
    </row>
    <row r="12" spans="2:10" ht="15.75" customHeight="1">
      <c r="B12" s="409"/>
      <c r="C12" s="417"/>
      <c r="D12" s="419" t="s">
        <v>51</v>
      </c>
      <c r="E12" s="417"/>
      <c r="F12" s="417"/>
      <c r="G12" s="420" t="s">
        <v>47</v>
      </c>
      <c r="H12" s="290"/>
      <c r="I12" s="289"/>
    </row>
    <row r="13" spans="2:10" ht="15.75" customHeight="1">
      <c r="B13" s="409"/>
      <c r="C13" s="421"/>
      <c r="D13" s="422"/>
      <c r="E13" s="422"/>
      <c r="F13" s="423"/>
      <c r="G13" s="424"/>
      <c r="H13" s="291"/>
      <c r="I13" s="289"/>
      <c r="J13" s="344">
        <f>G15+G20+G21+G22</f>
        <v>63613.78</v>
      </c>
    </row>
    <row r="14" spans="2:10" ht="15.75" customHeight="1">
      <c r="B14" s="409"/>
      <c r="C14" s="425" t="s">
        <v>279</v>
      </c>
      <c r="D14" s="410" t="s">
        <v>10</v>
      </c>
      <c r="E14" s="426"/>
      <c r="F14" s="427"/>
      <c r="G14" s="428">
        <f>+G9</f>
        <v>441917.83</v>
      </c>
      <c r="H14" s="292"/>
      <c r="I14" s="293"/>
      <c r="J14" s="294"/>
    </row>
    <row r="15" spans="2:10" ht="15.75" customHeight="1">
      <c r="B15" s="409"/>
      <c r="C15" s="425" t="s">
        <v>280</v>
      </c>
      <c r="D15" s="410" t="s">
        <v>307</v>
      </c>
      <c r="E15" s="429">
        <f>+G15/G14</f>
        <v>8.9666556336955222E-2</v>
      </c>
      <c r="F15" s="427"/>
      <c r="G15" s="428">
        <f>+G.General!G19</f>
        <v>39625.25</v>
      </c>
      <c r="H15" s="292"/>
      <c r="I15" s="451">
        <f>+G15/G14</f>
        <v>8.9666556336955222E-2</v>
      </c>
      <c r="J15" s="294">
        <f>+G14*0.4/100</f>
        <v>1767.6713200000002</v>
      </c>
    </row>
    <row r="16" spans="2:10" ht="15.75" customHeight="1">
      <c r="B16" s="409"/>
      <c r="C16" s="415" t="s">
        <v>281</v>
      </c>
      <c r="D16" s="430" t="s">
        <v>4</v>
      </c>
      <c r="E16" s="431"/>
      <c r="F16" s="423"/>
      <c r="G16" s="432">
        <f>+G14+G15</f>
        <v>481543.08</v>
      </c>
      <c r="H16" s="292"/>
      <c r="I16" s="375"/>
    </row>
    <row r="17" spans="1:10" ht="15.75" customHeight="1">
      <c r="B17" s="409"/>
      <c r="C17" s="410"/>
      <c r="D17" s="433"/>
      <c r="E17" s="434"/>
      <c r="F17" s="435"/>
      <c r="G17" s="436"/>
      <c r="H17" s="281"/>
      <c r="I17" s="295"/>
    </row>
    <row r="18" spans="1:10" ht="15.75" customHeight="1">
      <c r="B18" s="409"/>
      <c r="C18" s="437"/>
      <c r="D18" s="438" t="s">
        <v>282</v>
      </c>
      <c r="E18" s="439"/>
      <c r="F18" s="440"/>
      <c r="G18" s="441">
        <f>G16</f>
        <v>481543.08</v>
      </c>
      <c r="H18" s="281"/>
    </row>
    <row r="19" spans="1:10" ht="15.75" customHeight="1">
      <c r="B19" s="409"/>
      <c r="C19" s="410"/>
      <c r="D19" s="410"/>
      <c r="E19" s="442"/>
      <c r="F19" s="410"/>
      <c r="G19" s="443" t="s">
        <v>1</v>
      </c>
      <c r="H19" s="281"/>
      <c r="I19" s="282"/>
    </row>
    <row r="20" spans="1:10" ht="15.75" customHeight="1">
      <c r="B20" s="409"/>
      <c r="C20" s="410"/>
      <c r="D20" s="410" t="s">
        <v>310</v>
      </c>
      <c r="E20" s="429">
        <f>+G20/G14</f>
        <v>3.5891740326476532E-2</v>
      </c>
      <c r="F20" s="410"/>
      <c r="G20" s="428">
        <f>Supervision!G108</f>
        <v>15861.2</v>
      </c>
      <c r="H20" s="281"/>
      <c r="I20" s="408">
        <f>(G20/G14)</f>
        <v>3.5891740326476532E-2</v>
      </c>
      <c r="J20" s="294">
        <f>+G14*0.25/100</f>
        <v>1104.7945750000001</v>
      </c>
    </row>
    <row r="21" spans="1:10" ht="15.75" hidden="1" customHeight="1">
      <c r="B21" s="409"/>
      <c r="C21" s="410"/>
      <c r="D21" s="410" t="s">
        <v>293</v>
      </c>
      <c r="E21" s="444"/>
      <c r="F21" s="410"/>
      <c r="G21" s="445">
        <v>0</v>
      </c>
      <c r="H21" s="329"/>
      <c r="I21" s="376">
        <f>(G22/G18)</f>
        <v>1.6877679978289793E-2</v>
      </c>
      <c r="J21" s="294">
        <f t="shared" ref="J21" si="0">I21*100</f>
        <v>1.6877679978289792</v>
      </c>
    </row>
    <row r="22" spans="1:10" ht="15.75" customHeight="1" thickBot="1">
      <c r="B22" s="409"/>
      <c r="C22" s="410"/>
      <c r="D22" s="410" t="s">
        <v>311</v>
      </c>
      <c r="E22" s="429">
        <f>+G22/G14</f>
        <v>1.8391043420900213E-2</v>
      </c>
      <c r="F22" s="410"/>
      <c r="G22" s="446">
        <f>Liquidacion!G18</f>
        <v>8127.33</v>
      </c>
      <c r="H22" s="281"/>
      <c r="I22" s="408">
        <f>+G22/G14</f>
        <v>1.8391043420900213E-2</v>
      </c>
      <c r="J22" s="294">
        <f>+G14*0.1/100</f>
        <v>441.91783000000004</v>
      </c>
    </row>
    <row r="23" spans="1:10" ht="15.75" customHeight="1">
      <c r="B23" s="409"/>
      <c r="C23" s="410"/>
      <c r="D23" s="410"/>
      <c r="E23" s="410"/>
      <c r="F23" s="410"/>
      <c r="G23" s="443"/>
      <c r="H23" s="281"/>
      <c r="I23" s="282"/>
    </row>
    <row r="24" spans="1:10" ht="15.75" customHeight="1">
      <c r="B24" s="409"/>
      <c r="C24" s="437"/>
      <c r="D24" s="438" t="s">
        <v>295</v>
      </c>
      <c r="E24" s="438"/>
      <c r="F24" s="440"/>
      <c r="G24" s="447">
        <f>+G18+G20+G22</f>
        <v>505531.61000000004</v>
      </c>
      <c r="H24" s="281"/>
      <c r="J24" s="296"/>
    </row>
    <row r="25" spans="1:10" ht="15.75" customHeight="1" thickBot="1">
      <c r="B25" s="448"/>
      <c r="C25" s="449"/>
      <c r="D25" s="449"/>
      <c r="E25" s="449"/>
      <c r="F25" s="449"/>
      <c r="G25" s="450"/>
      <c r="H25" s="281"/>
      <c r="I25" s="282">
        <f>G18*I20</f>
        <v>17283.419183371716</v>
      </c>
      <c r="J25" s="296"/>
    </row>
    <row r="26" spans="1:10" ht="15.75" customHeight="1">
      <c r="B26" s="457" t="str">
        <f>CONCATENATE("SON : ",letra(G24),"  SOLES")</f>
        <v>SON : QUINIENTOS CINCO MIL QUINIENTOS TREINTA Y UNO CON 61/100  SOLES</v>
      </c>
      <c r="C26" s="458"/>
      <c r="D26" s="458"/>
      <c r="E26" s="458"/>
      <c r="F26" s="458"/>
      <c r="G26" s="459"/>
      <c r="H26" s="281"/>
      <c r="I26" s="282">
        <f>G18*I21</f>
        <v>8127.33</v>
      </c>
    </row>
    <row r="27" spans="1:10" ht="15.75" customHeight="1">
      <c r="B27" s="460"/>
      <c r="C27" s="461"/>
      <c r="D27" s="461"/>
      <c r="E27" s="461"/>
      <c r="F27" s="461"/>
      <c r="G27" s="462"/>
      <c r="H27" s="281"/>
      <c r="I27" s="282" t="e">
        <f>I22*#REF!</f>
        <v>#REF!</v>
      </c>
    </row>
    <row r="28" spans="1:10" ht="15.75" customHeight="1" thickBot="1">
      <c r="B28" s="463"/>
      <c r="C28" s="464"/>
      <c r="D28" s="464"/>
      <c r="E28" s="464"/>
      <c r="F28" s="464"/>
      <c r="G28" s="465"/>
      <c r="H28" s="281"/>
      <c r="I28" s="282"/>
    </row>
    <row r="29" spans="1:10">
      <c r="B29" s="297"/>
      <c r="C29" s="297"/>
      <c r="D29" s="297"/>
      <c r="E29" s="297"/>
      <c r="F29" s="297"/>
      <c r="G29" s="297"/>
      <c r="H29" s="281"/>
      <c r="I29" s="282"/>
    </row>
    <row r="30" spans="1:10">
      <c r="A30" s="282"/>
      <c r="B30" s="297"/>
      <c r="C30" s="298"/>
      <c r="D30" s="297"/>
      <c r="E30" s="297"/>
      <c r="F30" s="297"/>
      <c r="G30" s="297"/>
      <c r="J30" s="302"/>
    </row>
    <row r="31" spans="1:10">
      <c r="B31" s="297"/>
      <c r="C31" s="298"/>
      <c r="D31" s="297"/>
      <c r="E31" s="303"/>
      <c r="F31" s="297"/>
      <c r="G31" s="297"/>
    </row>
    <row r="32" spans="1:10">
      <c r="C32" s="298"/>
    </row>
    <row r="33" spans="3:7">
      <c r="C33" s="298"/>
      <c r="D33" s="281"/>
    </row>
    <row r="34" spans="3:7">
      <c r="D34" s="281"/>
    </row>
    <row r="36" spans="3:7">
      <c r="G36" s="294"/>
    </row>
  </sheetData>
  <mergeCells count="5">
    <mergeCell ref="B4:G4"/>
    <mergeCell ref="C11:G11"/>
    <mergeCell ref="B26:G28"/>
    <mergeCell ref="B3:G3"/>
    <mergeCell ref="B2:G2"/>
  </mergeCells>
  <printOptions horizontalCentered="1"/>
  <pageMargins left="0.98425196850393704" right="0.70866141732283472" top="1.6929133858267718" bottom="0.74803149606299213" header="0.31496062992125984" footer="0.31496062992125984"/>
  <pageSetup paperSize="9" scale="72" orientation="portrait" r:id="rId1"/>
  <headerFooter alignWithMargins="0">
    <oddHeader>&amp;C&amp;G</oddHeader>
  </headerFooter>
  <colBreaks count="1" manualBreakCount="1">
    <brk id="7" max="1048575" man="1"/>
  </colBreaks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L31"/>
  <sheetViews>
    <sheetView showGridLines="0" view="pageBreakPreview" topLeftCell="A4" zoomScale="80" zoomScaleNormal="70" zoomScaleSheetLayoutView="80" workbookViewId="0">
      <selection activeCell="N17" sqref="N17"/>
    </sheetView>
  </sheetViews>
  <sheetFormatPr baseColWidth="10" defaultColWidth="12.5703125" defaultRowHeight="12.75"/>
  <cols>
    <col min="1" max="1" width="2.42578125" style="9" customWidth="1"/>
    <col min="2" max="2" width="12.85546875" style="9" customWidth="1"/>
    <col min="3" max="3" width="60.7109375" style="9" customWidth="1"/>
    <col min="4" max="4" width="17.5703125" style="9" customWidth="1"/>
    <col min="5" max="5" width="14.5703125" style="9" customWidth="1"/>
    <col min="6" max="6" width="18.28515625" style="9" customWidth="1"/>
    <col min="7" max="7" width="15.42578125" style="9" customWidth="1"/>
    <col min="8" max="8" width="18" style="9" customWidth="1"/>
    <col min="9" max="9" width="7.7109375" style="9" hidden="1" customWidth="1"/>
    <col min="10" max="10" width="17.28515625" style="9" customWidth="1"/>
    <col min="11" max="11" width="14" style="9" customWidth="1"/>
    <col min="12" max="12" width="16.5703125" style="9" customWidth="1"/>
    <col min="13" max="16384" width="12.5703125" style="9"/>
  </cols>
  <sheetData>
    <row r="1" spans="2:12" ht="20.25" customHeight="1"/>
    <row r="2" spans="2:12" ht="20.25" customHeight="1"/>
    <row r="3" spans="2:12" ht="11.25" customHeight="1">
      <c r="B3" s="471" t="s">
        <v>1</v>
      </c>
      <c r="C3" s="472"/>
      <c r="D3" s="472"/>
      <c r="E3" s="472"/>
      <c r="F3" s="472"/>
      <c r="G3" s="472"/>
      <c r="H3" s="472"/>
      <c r="I3" s="472"/>
      <c r="J3" s="341"/>
    </row>
    <row r="4" spans="2:12" s="10" customFormat="1" ht="27" customHeight="1">
      <c r="B4" s="478" t="s">
        <v>113</v>
      </c>
      <c r="C4" s="479"/>
      <c r="D4" s="479"/>
      <c r="E4" s="479"/>
      <c r="F4" s="479"/>
      <c r="G4" s="479"/>
      <c r="H4" s="479"/>
      <c r="I4" s="479"/>
      <c r="J4" s="479"/>
      <c r="K4" s="479"/>
      <c r="L4" s="479"/>
    </row>
    <row r="5" spans="2:12" s="10" customFormat="1" ht="3" customHeight="1">
      <c r="B5" s="478"/>
      <c r="C5" s="479"/>
      <c r="D5" s="479"/>
      <c r="E5" s="479"/>
      <c r="F5" s="479"/>
      <c r="G5" s="479"/>
      <c r="H5" s="479"/>
      <c r="I5" s="479"/>
      <c r="J5" s="479"/>
      <c r="K5" s="479"/>
      <c r="L5" s="479"/>
    </row>
    <row r="6" spans="2:12" s="10" customFormat="1" ht="27" customHeight="1">
      <c r="B6" s="142"/>
      <c r="C6" s="224"/>
      <c r="D6" s="142"/>
      <c r="E6" s="142"/>
      <c r="F6" s="142"/>
      <c r="G6" s="142"/>
      <c r="H6" s="142"/>
      <c r="I6" s="142"/>
    </row>
    <row r="7" spans="2:12" s="10" customFormat="1" ht="64.5" customHeight="1">
      <c r="B7" s="480" t="str">
        <f>+'Resumen General'!B4</f>
        <v>PROYECTO: "ADQUISICION DE MONITOR MULTI PARAMETRO, CAMA CLINICA RODABLE, ASPIRADOR DE SECRECIONES Y PULSIOXIMETRO; ADEMÁS DE OTROS ACTIVOS EN EL(LA) EESS HUACCANA - HUACCANA DISTRITO DE HUACCANA, PROVINCIA CHINCHEROS, DEPARTAMENTO APURIMAC"</v>
      </c>
      <c r="C7" s="480"/>
      <c r="D7" s="480"/>
      <c r="E7" s="480"/>
      <c r="F7" s="480"/>
      <c r="G7" s="480"/>
      <c r="H7" s="480"/>
      <c r="I7" s="480"/>
      <c r="J7" s="480"/>
      <c r="K7" s="480"/>
      <c r="L7" s="480"/>
    </row>
    <row r="8" spans="2:12" s="14" customFormat="1" ht="15" hidden="1">
      <c r="B8" s="11"/>
      <c r="C8" s="12" t="s">
        <v>33</v>
      </c>
      <c r="D8" s="141" t="s">
        <v>270</v>
      </c>
      <c r="E8" s="141"/>
      <c r="F8" s="141"/>
      <c r="G8" s="141"/>
      <c r="H8" s="13"/>
      <c r="I8" s="13"/>
    </row>
    <row r="9" spans="2:12" s="14" customFormat="1" ht="15" hidden="1">
      <c r="B9" s="11"/>
      <c r="C9" s="12" t="s">
        <v>61</v>
      </c>
      <c r="D9" s="311"/>
      <c r="E9" s="22"/>
      <c r="F9" s="22"/>
      <c r="G9" s="22"/>
      <c r="H9" s="10"/>
      <c r="I9" s="10"/>
    </row>
    <row r="10" spans="2:12" s="14" customFormat="1" ht="15" hidden="1">
      <c r="B10" s="11"/>
      <c r="C10" s="12" t="s">
        <v>62</v>
      </c>
      <c r="D10" s="311"/>
      <c r="E10" s="22"/>
      <c r="F10" s="22"/>
      <c r="G10" s="22"/>
      <c r="H10" s="10"/>
      <c r="I10" s="10"/>
    </row>
    <row r="11" spans="2:12" s="14" customFormat="1" ht="15" hidden="1">
      <c r="B11" s="11"/>
      <c r="C11" s="12" t="s">
        <v>63</v>
      </c>
      <c r="D11" s="311"/>
      <c r="E11" s="22"/>
      <c r="F11" s="22"/>
      <c r="G11" s="22"/>
      <c r="H11" s="10"/>
      <c r="I11" s="10"/>
    </row>
    <row r="12" spans="2:12" s="14" customFormat="1" ht="64.5" hidden="1" customHeight="1">
      <c r="B12" s="11"/>
      <c r="C12" s="12" t="s">
        <v>104</v>
      </c>
      <c r="D12" s="477" t="s">
        <v>298</v>
      </c>
      <c r="E12" s="477"/>
      <c r="F12" s="477"/>
      <c r="G12" s="477"/>
      <c r="H12" s="477"/>
      <c r="I12" s="477"/>
    </row>
    <row r="13" spans="2:12" s="14" customFormat="1" ht="15.75" thickBot="1">
      <c r="B13" s="11"/>
      <c r="C13" s="12"/>
      <c r="D13" s="15"/>
      <c r="E13" s="15"/>
      <c r="F13" s="15"/>
      <c r="G13" s="15"/>
      <c r="H13" s="13"/>
      <c r="I13" s="10"/>
    </row>
    <row r="14" spans="2:12" s="51" customFormat="1" ht="45.75" customHeight="1">
      <c r="B14" s="336" t="s">
        <v>34</v>
      </c>
      <c r="C14" s="337" t="s">
        <v>35</v>
      </c>
      <c r="D14" s="338" t="s">
        <v>10</v>
      </c>
      <c r="E14" s="338" t="s">
        <v>41</v>
      </c>
      <c r="F14" s="338" t="s">
        <v>290</v>
      </c>
      <c r="G14" s="338" t="s">
        <v>134</v>
      </c>
      <c r="H14" s="338" t="s">
        <v>135</v>
      </c>
      <c r="I14" s="338" t="s">
        <v>272</v>
      </c>
      <c r="J14" s="338" t="s">
        <v>283</v>
      </c>
      <c r="K14" s="338" t="s">
        <v>284</v>
      </c>
      <c r="L14" s="332" t="s">
        <v>111</v>
      </c>
    </row>
    <row r="15" spans="2:12" s="51" customFormat="1" ht="38.25" customHeight="1">
      <c r="B15" s="144" t="s">
        <v>260</v>
      </c>
      <c r="C15" s="143" t="s">
        <v>127</v>
      </c>
      <c r="D15" s="145">
        <f>+C.Directo!G16</f>
        <v>0</v>
      </c>
      <c r="E15" s="145">
        <f>+G.General!G15</f>
        <v>34779.949999999997</v>
      </c>
      <c r="F15" s="145">
        <f>+Supervision!G13</f>
        <v>13621.2</v>
      </c>
      <c r="G15" s="145">
        <f>+'Exp.Téc. '!G14</f>
        <v>0</v>
      </c>
      <c r="H15" s="145">
        <f>+Liquidacion!G14</f>
        <v>6895.0749999999998</v>
      </c>
      <c r="I15" s="145"/>
      <c r="J15" s="333"/>
      <c r="K15" s="333"/>
      <c r="L15" s="146">
        <f>SUM(D15:K15)</f>
        <v>55296.224999999991</v>
      </c>
    </row>
    <row r="16" spans="2:12" s="51" customFormat="1" ht="38.25" customHeight="1">
      <c r="B16" s="144" t="s">
        <v>261</v>
      </c>
      <c r="C16" s="143" t="s">
        <v>128</v>
      </c>
      <c r="D16" s="145">
        <f>+C.Directo!G17</f>
        <v>0</v>
      </c>
      <c r="E16" s="145">
        <f>+G.General!G16</f>
        <v>4245.3</v>
      </c>
      <c r="F16" s="145">
        <f>+Supervision!G14</f>
        <v>1740</v>
      </c>
      <c r="G16" s="145">
        <f>+'Exp.Téc. '!G15</f>
        <v>0</v>
      </c>
      <c r="H16" s="145">
        <f>+Liquidacion!G15</f>
        <v>482.25</v>
      </c>
      <c r="I16" s="145"/>
      <c r="J16" s="334">
        <v>0</v>
      </c>
      <c r="K16" s="333"/>
      <c r="L16" s="146">
        <f t="shared" ref="L16:L19" si="0">SUM(D16:K16)</f>
        <v>6467.55</v>
      </c>
    </row>
    <row r="17" spans="2:12" s="51" customFormat="1" ht="38.25" customHeight="1">
      <c r="B17" s="144" t="s">
        <v>262</v>
      </c>
      <c r="C17" s="143" t="s">
        <v>129</v>
      </c>
      <c r="D17" s="145">
        <f>+C.Directo!G18</f>
        <v>0</v>
      </c>
      <c r="E17" s="145">
        <f>+G.General!G17</f>
        <v>600</v>
      </c>
      <c r="F17" s="145">
        <f>+Supervision!G15</f>
        <v>500</v>
      </c>
      <c r="G17" s="145">
        <f>+'Resumen General'!G21</f>
        <v>0</v>
      </c>
      <c r="H17" s="145">
        <f>+Liquidacion!G16</f>
        <v>750</v>
      </c>
      <c r="I17" s="145"/>
      <c r="J17" s="333"/>
      <c r="K17" s="333"/>
      <c r="L17" s="146">
        <f t="shared" si="0"/>
        <v>1850</v>
      </c>
    </row>
    <row r="18" spans="2:12" s="51" customFormat="1" ht="38.25" customHeight="1">
      <c r="B18" s="144" t="s">
        <v>265</v>
      </c>
      <c r="C18" s="143" t="s">
        <v>130</v>
      </c>
      <c r="D18" s="145">
        <f>+C.Directo!G19</f>
        <v>0</v>
      </c>
      <c r="E18" s="145">
        <f>+G.General!G18</f>
        <v>0</v>
      </c>
      <c r="F18" s="145">
        <f>+Supervision!G16</f>
        <v>0</v>
      </c>
      <c r="G18" s="145"/>
      <c r="H18" s="145">
        <f>+Liquidacion!G17</f>
        <v>0</v>
      </c>
      <c r="I18" s="145"/>
      <c r="J18" s="333"/>
      <c r="K18" s="333">
        <v>0</v>
      </c>
      <c r="L18" s="146">
        <f t="shared" si="0"/>
        <v>0</v>
      </c>
    </row>
    <row r="19" spans="2:12" s="51" customFormat="1" ht="38.25" customHeight="1">
      <c r="B19" s="144" t="s">
        <v>267</v>
      </c>
      <c r="C19" s="143" t="s">
        <v>268</v>
      </c>
      <c r="D19" s="145">
        <v>0</v>
      </c>
      <c r="E19" s="145">
        <v>0</v>
      </c>
      <c r="F19" s="145">
        <v>0</v>
      </c>
      <c r="G19" s="145">
        <f>+'Exp.Téc. '!G18</f>
        <v>0</v>
      </c>
      <c r="H19" s="145">
        <f>D19+E19+F19</f>
        <v>0</v>
      </c>
      <c r="I19" s="145"/>
      <c r="J19" s="333"/>
      <c r="K19" s="333"/>
      <c r="L19" s="146">
        <f t="shared" si="0"/>
        <v>0</v>
      </c>
    </row>
    <row r="20" spans="2:12" s="51" customFormat="1" ht="18.75" thickBot="1">
      <c r="B20" s="473" t="s">
        <v>3</v>
      </c>
      <c r="C20" s="474"/>
      <c r="D20" s="339">
        <f t="shared" ref="D20:H20" si="1">SUM(D15:D19)</f>
        <v>0</v>
      </c>
      <c r="E20" s="339">
        <f>SUM(E15:E19)</f>
        <v>39625.25</v>
      </c>
      <c r="F20" s="339">
        <f t="shared" si="1"/>
        <v>15861.2</v>
      </c>
      <c r="G20" s="339">
        <f t="shared" si="1"/>
        <v>0</v>
      </c>
      <c r="H20" s="339">
        <f t="shared" si="1"/>
        <v>8127.3249999999998</v>
      </c>
      <c r="I20" s="339"/>
      <c r="J20" s="339">
        <f>SUM(J15:J19)</f>
        <v>0</v>
      </c>
      <c r="K20" s="339">
        <f>SUM(K15:K19)</f>
        <v>0</v>
      </c>
      <c r="L20" s="340">
        <f>SUM(L15:L19)</f>
        <v>63613.774999999994</v>
      </c>
    </row>
    <row r="21" spans="2:12" s="51" customFormat="1" ht="18.75" hidden="1" thickBot="1">
      <c r="B21" s="475" t="s">
        <v>78</v>
      </c>
      <c r="C21" s="476" t="s">
        <v>78</v>
      </c>
      <c r="D21" s="268"/>
      <c r="E21" s="212" t="e">
        <f>+E20/$D$20</f>
        <v>#DIV/0!</v>
      </c>
      <c r="F21" s="268"/>
      <c r="G21" s="268"/>
      <c r="H21" s="267">
        <v>1</v>
      </c>
      <c r="I21" s="212" t="e">
        <f>I20/D20</f>
        <v>#DIV/0!</v>
      </c>
    </row>
    <row r="22" spans="2:12" s="14" customFormat="1" ht="14.25">
      <c r="B22" s="11"/>
      <c r="C22" s="13"/>
      <c r="D22" s="16"/>
      <c r="E22" s="16"/>
      <c r="F22" s="16"/>
      <c r="G22" s="16"/>
      <c r="H22" s="10"/>
      <c r="I22" s="10"/>
    </row>
    <row r="23" spans="2:12" s="14" customFormat="1" ht="14.25">
      <c r="B23" s="11"/>
      <c r="C23" s="13"/>
      <c r="D23" s="261"/>
      <c r="E23" s="261"/>
      <c r="F23" s="261"/>
      <c r="G23" s="261"/>
      <c r="H23" s="262"/>
      <c r="I23" s="10"/>
      <c r="L23" s="335"/>
    </row>
    <row r="24" spans="2:12">
      <c r="I24" s="260"/>
    </row>
    <row r="28" spans="2:12">
      <c r="H28" s="269"/>
    </row>
    <row r="29" spans="2:12">
      <c r="D29" s="269"/>
    </row>
    <row r="30" spans="2:12">
      <c r="J30" s="269"/>
    </row>
    <row r="31" spans="2:12">
      <c r="J31" s="269"/>
    </row>
  </sheetData>
  <mergeCells count="6">
    <mergeCell ref="B3:I3"/>
    <mergeCell ref="B20:C20"/>
    <mergeCell ref="B21:C21"/>
    <mergeCell ref="D12:I12"/>
    <mergeCell ref="B4:L5"/>
    <mergeCell ref="B7:L7"/>
  </mergeCells>
  <phoneticPr fontId="0" type="noConversion"/>
  <printOptions horizontalCentered="1"/>
  <pageMargins left="0.59055118110236227" right="0.59055118110236227" top="1.1811023622047245" bottom="0.78740157480314965" header="0.59055118110236227" footer="0"/>
  <pageSetup paperSize="9" scale="65" orientation="landscape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L423"/>
  <sheetViews>
    <sheetView view="pageBreakPreview" topLeftCell="A150" zoomScale="80" zoomScaleSheetLayoutView="80" workbookViewId="0">
      <selection activeCell="F165" sqref="F165"/>
    </sheetView>
  </sheetViews>
  <sheetFormatPr baseColWidth="10" defaultRowHeight="12.75"/>
  <cols>
    <col min="1" max="1" width="1" style="17" customWidth="1"/>
    <col min="2" max="2" width="60.28515625" style="17" customWidth="1"/>
    <col min="3" max="3" width="8.7109375" style="150" customWidth="1"/>
    <col min="4" max="4" width="12.5703125" style="150" customWidth="1"/>
    <col min="5" max="5" width="13.28515625" style="150" customWidth="1"/>
    <col min="6" max="6" width="14.7109375" style="150" customWidth="1"/>
    <col min="7" max="7" width="14.85546875" style="17" customWidth="1"/>
    <col min="8" max="8" width="11.5703125" style="17" customWidth="1"/>
    <col min="9" max="9" width="13.7109375" style="17" customWidth="1"/>
    <col min="10" max="16384" width="11.42578125" style="17"/>
  </cols>
  <sheetData>
    <row r="1" spans="1:8" ht="21" customHeight="1">
      <c r="H1" s="150"/>
    </row>
    <row r="2" spans="1:8" ht="21" customHeight="1" thickBot="1">
      <c r="H2" s="150"/>
    </row>
    <row r="3" spans="1:8" ht="27" customHeight="1" thickBot="1">
      <c r="A3" s="481" t="s">
        <v>66</v>
      </c>
      <c r="B3" s="482"/>
      <c r="C3" s="482"/>
      <c r="D3" s="482"/>
      <c r="E3" s="482"/>
      <c r="F3" s="482"/>
      <c r="G3" s="482"/>
      <c r="H3" s="150"/>
    </row>
    <row r="4" spans="1:8" ht="18" customHeight="1">
      <c r="A4" s="18"/>
      <c r="B4" s="19"/>
      <c r="C4" s="147"/>
      <c r="D4" s="147"/>
      <c r="E4" s="147"/>
      <c r="F4" s="147"/>
      <c r="G4" s="19"/>
      <c r="H4" s="150"/>
    </row>
    <row r="5" spans="1:8" ht="18" hidden="1" customHeight="1">
      <c r="A5" s="20"/>
      <c r="B5" s="245"/>
      <c r="C5" s="246"/>
      <c r="D5" s="147"/>
      <c r="E5" s="147"/>
      <c r="F5" s="147"/>
      <c r="H5" s="150"/>
    </row>
    <row r="6" spans="1:8" ht="18" hidden="1" customHeight="1">
      <c r="A6" s="20"/>
      <c r="B6" s="245" t="s">
        <v>33</v>
      </c>
      <c r="C6" s="147" t="str">
        <f>[1]Resumen!C9</f>
        <v>:</v>
      </c>
      <c r="D6" s="147"/>
      <c r="E6" s="147"/>
      <c r="F6" s="147"/>
      <c r="G6" s="19"/>
      <c r="H6" s="150"/>
    </row>
    <row r="7" spans="1:8" ht="18" hidden="1" customHeight="1">
      <c r="A7" s="20"/>
      <c r="B7" s="245" t="s">
        <v>60</v>
      </c>
      <c r="C7" s="246" t="str">
        <f>[1]Resumen!C10</f>
        <v>:</v>
      </c>
      <c r="G7" s="22" t="s">
        <v>1</v>
      </c>
      <c r="H7" s="150"/>
    </row>
    <row r="8" spans="1:8" ht="18" hidden="1" customHeight="1">
      <c r="A8" s="20"/>
      <c r="B8" s="245" t="s">
        <v>61</v>
      </c>
      <c r="C8" s="147">
        <f>+Resumen!D9</f>
        <v>0</v>
      </c>
      <c r="G8" s="22" t="s">
        <v>1</v>
      </c>
      <c r="H8" s="150"/>
    </row>
    <row r="9" spans="1:8" ht="18" hidden="1" customHeight="1">
      <c r="A9" s="20"/>
      <c r="B9" s="245" t="s">
        <v>62</v>
      </c>
      <c r="C9" s="147">
        <f>+Resumen!D10</f>
        <v>0</v>
      </c>
      <c r="G9" s="22"/>
      <c r="H9" s="150"/>
    </row>
    <row r="10" spans="1:8" ht="18" hidden="1" customHeight="1">
      <c r="A10" s="20"/>
      <c r="B10" s="245" t="s">
        <v>63</v>
      </c>
      <c r="C10" s="147">
        <f>+Resumen!D11</f>
        <v>0</v>
      </c>
      <c r="H10" s="150"/>
    </row>
    <row r="11" spans="1:8" ht="33" hidden="1" customHeight="1">
      <c r="A11" s="20"/>
      <c r="B11" s="245" t="s">
        <v>104</v>
      </c>
      <c r="C11" s="477"/>
      <c r="D11" s="477"/>
      <c r="E11" s="477"/>
      <c r="F11" s="477"/>
      <c r="G11" s="477"/>
      <c r="H11" s="150"/>
    </row>
    <row r="12" spans="1:8" ht="33" hidden="1" customHeight="1">
      <c r="A12" s="20"/>
      <c r="B12" s="245"/>
      <c r="C12" s="477"/>
      <c r="D12" s="477"/>
      <c r="E12" s="477"/>
      <c r="F12" s="477"/>
      <c r="G12" s="477"/>
      <c r="H12" s="150"/>
    </row>
    <row r="13" spans="1:8" ht="18" hidden="1" customHeight="1">
      <c r="A13" s="20"/>
      <c r="B13" s="245"/>
      <c r="C13" s="147"/>
      <c r="D13" s="147"/>
      <c r="E13" s="147"/>
      <c r="F13" s="147"/>
      <c r="G13" s="22"/>
      <c r="H13" s="150"/>
    </row>
    <row r="14" spans="1:8" ht="18" customHeight="1" thickBot="1">
      <c r="A14" s="20"/>
      <c r="B14" s="245"/>
      <c r="C14" s="147"/>
      <c r="H14" s="150"/>
    </row>
    <row r="15" spans="1:8" s="10" customFormat="1" ht="35.25" hidden="1" customHeight="1" thickBot="1">
      <c r="A15" s="20"/>
      <c r="B15" s="247" t="s">
        <v>34</v>
      </c>
      <c r="C15" s="492" t="s">
        <v>35</v>
      </c>
      <c r="D15" s="493"/>
      <c r="E15" s="493"/>
      <c r="F15" s="494"/>
      <c r="G15" s="248" t="s">
        <v>133</v>
      </c>
      <c r="H15" s="277"/>
    </row>
    <row r="16" spans="1:8" s="10" customFormat="1" ht="35.25" hidden="1" customHeight="1">
      <c r="A16" s="20"/>
      <c r="B16" s="249" t="str">
        <f>[1]Resumen!A17</f>
        <v>2.6.2.2.2.4</v>
      </c>
      <c r="C16" s="350" t="s">
        <v>127</v>
      </c>
      <c r="D16" s="351"/>
      <c r="E16" s="352"/>
      <c r="F16" s="318"/>
      <c r="G16" s="240"/>
      <c r="H16" s="277"/>
    </row>
    <row r="17" spans="1:12" s="10" customFormat="1" ht="35.25" hidden="1" customHeight="1">
      <c r="A17" s="20"/>
      <c r="B17" s="249" t="str">
        <f>[1]Resumen!A18</f>
        <v>2.6.2.2.2.5</v>
      </c>
      <c r="C17" s="353" t="s">
        <v>128</v>
      </c>
      <c r="D17" s="354"/>
      <c r="E17" s="355"/>
      <c r="F17" s="319"/>
      <c r="G17" s="241">
        <f>+G279</f>
        <v>0</v>
      </c>
      <c r="H17" s="278"/>
    </row>
    <row r="18" spans="1:12" s="10" customFormat="1" ht="35.25" hidden="1" customHeight="1">
      <c r="A18" s="20"/>
      <c r="B18" s="249" t="str">
        <f>[1]Resumen!A19</f>
        <v>2.6.2.2.2.6</v>
      </c>
      <c r="C18" s="353" t="s">
        <v>129</v>
      </c>
      <c r="D18" s="354"/>
      <c r="E18" s="355"/>
      <c r="F18" s="319"/>
      <c r="G18" s="241">
        <f>+G293</f>
        <v>0</v>
      </c>
      <c r="H18" s="278"/>
    </row>
    <row r="19" spans="1:12" s="10" customFormat="1" ht="35.25" hidden="1" customHeight="1" thickBot="1">
      <c r="A19" s="20"/>
      <c r="B19" s="249" t="str">
        <f>[1]Resumen!A20</f>
        <v>2.6.2.2.2.7</v>
      </c>
      <c r="C19" s="356" t="s">
        <v>130</v>
      </c>
      <c r="D19" s="357"/>
      <c r="E19" s="358"/>
      <c r="F19" s="320"/>
      <c r="G19" s="242">
        <f>+G302</f>
        <v>0</v>
      </c>
      <c r="H19" s="278"/>
    </row>
    <row r="20" spans="1:12" s="10" customFormat="1" ht="35.25" customHeight="1" thickBot="1">
      <c r="A20" s="20"/>
      <c r="B20" s="488" t="s">
        <v>69</v>
      </c>
      <c r="C20" s="489"/>
      <c r="D20" s="489"/>
      <c r="E20" s="489"/>
      <c r="F20" s="490"/>
      <c r="G20" s="250">
        <f>+'Resumen General'!G9</f>
        <v>441917.83</v>
      </c>
      <c r="H20" s="279"/>
      <c r="I20" s="262">
        <v>1077779.97</v>
      </c>
      <c r="J20" s="331">
        <f>+G20-I20</f>
        <v>-635862.1399999999</v>
      </c>
      <c r="L20" s="342"/>
    </row>
    <row r="21" spans="1:12" ht="18" customHeight="1">
      <c r="A21" s="20"/>
      <c r="B21" s="245"/>
      <c r="C21" s="147"/>
      <c r="H21" s="279"/>
    </row>
    <row r="22" spans="1:12" ht="18" hidden="1" customHeight="1">
      <c r="A22" s="20"/>
      <c r="B22" s="245"/>
      <c r="C22" s="147"/>
      <c r="H22" s="279"/>
    </row>
    <row r="23" spans="1:12" ht="18" hidden="1" customHeight="1">
      <c r="A23" s="20"/>
      <c r="B23" s="245"/>
      <c r="C23" s="147"/>
      <c r="H23" s="279"/>
    </row>
    <row r="24" spans="1:12" ht="18" hidden="1" customHeight="1">
      <c r="A24" s="20"/>
      <c r="B24" s="251"/>
      <c r="C24" s="251"/>
      <c r="D24" s="251"/>
      <c r="E24" s="251"/>
      <c r="F24" s="348"/>
      <c r="G24" s="26"/>
      <c r="H24" s="279"/>
    </row>
    <row r="25" spans="1:12" ht="18" hidden="1" customHeight="1">
      <c r="A25" s="27"/>
      <c r="B25" s="27"/>
      <c r="C25" s="148"/>
      <c r="D25" s="272"/>
      <c r="E25" s="272"/>
      <c r="H25" s="279"/>
    </row>
    <row r="26" spans="1:12" ht="27" customHeight="1">
      <c r="A26" s="486" t="s">
        <v>40</v>
      </c>
      <c r="B26" s="487"/>
      <c r="C26" s="487"/>
      <c r="D26" s="487"/>
      <c r="E26" s="487"/>
      <c r="F26" s="487"/>
      <c r="G26" s="487"/>
      <c r="H26" s="279"/>
    </row>
    <row r="27" spans="1:12" ht="12" customHeight="1">
      <c r="A27" s="258"/>
      <c r="B27" s="259"/>
      <c r="C27" s="149"/>
      <c r="D27" s="259"/>
      <c r="E27" s="259"/>
      <c r="F27" s="259"/>
      <c r="G27" s="259"/>
      <c r="H27" s="278"/>
    </row>
    <row r="28" spans="1:12" ht="27" customHeight="1">
      <c r="A28" s="486" t="s">
        <v>10</v>
      </c>
      <c r="B28" s="486"/>
      <c r="C28" s="486"/>
      <c r="D28" s="486"/>
      <c r="E28" s="486"/>
      <c r="F28" s="486"/>
      <c r="G28" s="486"/>
      <c r="H28" s="278"/>
    </row>
    <row r="29" spans="1:12" ht="27" hidden="1" customHeight="1">
      <c r="A29" s="263"/>
      <c r="B29" s="263"/>
      <c r="C29" s="346"/>
      <c r="D29" s="346"/>
      <c r="E29" s="346"/>
      <c r="F29" s="346"/>
      <c r="G29" s="263"/>
      <c r="H29" s="278"/>
    </row>
    <row r="30" spans="1:12" ht="14.85" customHeight="1">
      <c r="A30" s="29"/>
      <c r="B30" s="29"/>
      <c r="C30" s="47"/>
      <c r="D30" s="47"/>
      <c r="E30" s="47"/>
      <c r="F30" s="41"/>
      <c r="H30" s="278"/>
    </row>
    <row r="31" spans="1:12" ht="18" hidden="1" customHeight="1">
      <c r="A31" s="33"/>
      <c r="B31" s="162" t="s">
        <v>11</v>
      </c>
      <c r="C31" s="163"/>
      <c r="D31" s="163"/>
      <c r="E31" s="321"/>
      <c r="F31" s="343" t="s">
        <v>0</v>
      </c>
      <c r="G31" s="252">
        <f>+F165</f>
        <v>441917.83</v>
      </c>
      <c r="H31" s="278"/>
    </row>
    <row r="32" spans="1:12" ht="12.75" hidden="1" customHeight="1">
      <c r="A32" s="31"/>
      <c r="B32" s="32"/>
      <c r="C32" s="47"/>
      <c r="D32" s="47"/>
      <c r="E32" s="47"/>
      <c r="F32" s="47"/>
      <c r="G32" s="29"/>
      <c r="H32" s="278"/>
    </row>
    <row r="33" spans="1:8" ht="12.75" hidden="1" customHeight="1">
      <c r="A33" s="33" t="s">
        <v>12</v>
      </c>
      <c r="B33" s="34" t="s">
        <v>13</v>
      </c>
      <c r="C33" s="47"/>
      <c r="D33" s="47"/>
      <c r="E33" s="47"/>
      <c r="F33" s="47"/>
      <c r="G33" s="29"/>
      <c r="H33" s="278"/>
    </row>
    <row r="34" spans="1:8" ht="12.75" hidden="1" customHeight="1">
      <c r="A34" s="35"/>
      <c r="B34" s="28"/>
      <c r="C34" s="47"/>
      <c r="D34" s="47"/>
      <c r="E34" s="47"/>
      <c r="F34" s="47"/>
      <c r="G34" s="29"/>
      <c r="H34" s="278"/>
    </row>
    <row r="35" spans="1:8" ht="12.75" hidden="1" customHeight="1">
      <c r="A35" s="18"/>
      <c r="B35" s="34" t="s">
        <v>42</v>
      </c>
      <c r="C35" s="148"/>
      <c r="D35" s="148"/>
      <c r="E35" s="148"/>
      <c r="F35" s="148"/>
      <c r="H35" s="278"/>
    </row>
    <row r="36" spans="1:8" ht="12.75" customHeight="1">
      <c r="A36" s="18"/>
      <c r="B36" s="34"/>
      <c r="C36" s="148"/>
      <c r="D36" s="148"/>
      <c r="E36" s="148"/>
      <c r="F36" s="148"/>
      <c r="G36" s="29"/>
      <c r="H36" s="278"/>
    </row>
    <row r="37" spans="1:8" ht="12.75" customHeight="1">
      <c r="A37" s="35"/>
      <c r="B37" s="37" t="s">
        <v>51</v>
      </c>
      <c r="C37" s="37" t="s">
        <v>67</v>
      </c>
      <c r="D37" s="37" t="s">
        <v>24</v>
      </c>
      <c r="E37" s="37" t="s">
        <v>5</v>
      </c>
      <c r="F37" s="37" t="s">
        <v>4</v>
      </c>
      <c r="G37" s="29"/>
      <c r="H37" s="278"/>
    </row>
    <row r="38" spans="1:8" s="391" customFormat="1">
      <c r="B38" s="392" t="s">
        <v>312</v>
      </c>
      <c r="C38" s="388"/>
      <c r="D38" s="389"/>
      <c r="E38" s="389"/>
      <c r="F38" s="389"/>
    </row>
    <row r="39" spans="1:8" s="345" customFormat="1">
      <c r="B39" s="385" t="s">
        <v>313</v>
      </c>
      <c r="C39" s="383" t="s">
        <v>68</v>
      </c>
      <c r="D39" s="384">
        <v>780.1626</v>
      </c>
      <c r="E39" s="377">
        <v>23.8</v>
      </c>
      <c r="F39" s="377">
        <v>18567.89</v>
      </c>
    </row>
    <row r="40" spans="1:8" s="345" customFormat="1">
      <c r="B40" s="385" t="s">
        <v>314</v>
      </c>
      <c r="C40" s="383" t="s">
        <v>68</v>
      </c>
      <c r="D40" s="384">
        <v>1338.3436999999999</v>
      </c>
      <c r="E40" s="377">
        <v>17.010000000000002</v>
      </c>
      <c r="F40" s="377">
        <v>22765.24</v>
      </c>
    </row>
    <row r="41" spans="1:8" s="345" customFormat="1">
      <c r="B41" s="385" t="s">
        <v>300</v>
      </c>
      <c r="C41" s="383" t="s">
        <v>68</v>
      </c>
      <c r="D41" s="384">
        <v>97.26100000000001</v>
      </c>
      <c r="E41" s="377">
        <v>18.84</v>
      </c>
      <c r="F41" s="377">
        <v>1832.4</v>
      </c>
    </row>
    <row r="42" spans="1:8" s="345" customFormat="1">
      <c r="B42" s="386"/>
      <c r="C42" s="383"/>
      <c r="D42" s="384"/>
      <c r="E42" s="377"/>
      <c r="F42" s="390">
        <v>43165.530000000013</v>
      </c>
    </row>
    <row r="43" spans="1:8" s="387" customFormat="1">
      <c r="B43" s="392" t="s">
        <v>315</v>
      </c>
      <c r="C43" s="388"/>
      <c r="D43" s="389"/>
      <c r="E43" s="390"/>
      <c r="F43" s="390"/>
    </row>
    <row r="44" spans="1:8" s="345" customFormat="1">
      <c r="B44" s="385" t="s">
        <v>316</v>
      </c>
      <c r="C44" s="383" t="s">
        <v>2</v>
      </c>
      <c r="D44" s="384">
        <v>8.9640000000000004</v>
      </c>
      <c r="E44" s="377">
        <v>38</v>
      </c>
      <c r="F44" s="377">
        <v>340.63</v>
      </c>
    </row>
    <row r="45" spans="1:8" s="345" customFormat="1">
      <c r="B45" s="385" t="s">
        <v>317</v>
      </c>
      <c r="C45" s="383" t="s">
        <v>54</v>
      </c>
      <c r="D45" s="384">
        <v>0.52539999999999998</v>
      </c>
      <c r="E45" s="377">
        <v>20.3</v>
      </c>
      <c r="F45" s="377">
        <v>10.67</v>
      </c>
    </row>
    <row r="46" spans="1:8" s="345" customFormat="1">
      <c r="B46" s="385" t="s">
        <v>318</v>
      </c>
      <c r="C46" s="383" t="s">
        <v>2</v>
      </c>
      <c r="D46" s="384">
        <v>0.50919999999999999</v>
      </c>
      <c r="E46" s="377">
        <v>16.3</v>
      </c>
      <c r="F46" s="377">
        <v>8.3000000000000007</v>
      </c>
    </row>
    <row r="47" spans="1:8" s="345" customFormat="1">
      <c r="B47" s="385" t="s">
        <v>319</v>
      </c>
      <c r="C47" s="383" t="s">
        <v>2</v>
      </c>
      <c r="D47" s="384">
        <v>54.095300000000002</v>
      </c>
      <c r="E47" s="377">
        <v>0.2</v>
      </c>
      <c r="F47" s="377">
        <v>10.82</v>
      </c>
    </row>
    <row r="48" spans="1:8" s="345" customFormat="1">
      <c r="B48" s="385" t="s">
        <v>320</v>
      </c>
      <c r="C48" s="383" t="s">
        <v>2</v>
      </c>
      <c r="D48" s="384">
        <v>26.767499999999998</v>
      </c>
      <c r="E48" s="377">
        <v>0.8</v>
      </c>
      <c r="F48" s="377">
        <v>21.41</v>
      </c>
    </row>
    <row r="49" spans="2:6" s="345" customFormat="1">
      <c r="B49" s="385" t="s">
        <v>321</v>
      </c>
      <c r="C49" s="383" t="s">
        <v>322</v>
      </c>
      <c r="D49" s="384">
        <v>0.3362</v>
      </c>
      <c r="E49" s="377">
        <v>37.200000000000003</v>
      </c>
      <c r="F49" s="377">
        <v>12.51</v>
      </c>
    </row>
    <row r="50" spans="2:6" s="345" customFormat="1">
      <c r="B50" s="385" t="s">
        <v>323</v>
      </c>
      <c r="C50" s="383" t="s">
        <v>6</v>
      </c>
      <c r="D50" s="384">
        <v>0.43580000000000002</v>
      </c>
      <c r="E50" s="377">
        <v>30</v>
      </c>
      <c r="F50" s="377">
        <v>13.07</v>
      </c>
    </row>
    <row r="51" spans="2:6" s="345" customFormat="1">
      <c r="B51" s="385" t="s">
        <v>324</v>
      </c>
      <c r="C51" s="383" t="s">
        <v>2</v>
      </c>
      <c r="D51" s="384">
        <v>3.2993000000000001</v>
      </c>
      <c r="E51" s="377">
        <v>3.5</v>
      </c>
      <c r="F51" s="377">
        <v>11.55</v>
      </c>
    </row>
    <row r="52" spans="2:6" s="345" customFormat="1">
      <c r="B52" s="385" t="s">
        <v>325</v>
      </c>
      <c r="C52" s="383" t="s">
        <v>2</v>
      </c>
      <c r="D52" s="384">
        <v>16.346900000000002</v>
      </c>
      <c r="E52" s="377">
        <v>17.8</v>
      </c>
      <c r="F52" s="377">
        <v>290.97000000000003</v>
      </c>
    </row>
    <row r="53" spans="2:6" s="345" customFormat="1">
      <c r="B53" s="385" t="s">
        <v>326</v>
      </c>
      <c r="C53" s="383" t="s">
        <v>2</v>
      </c>
      <c r="D53" s="384">
        <v>8.6776</v>
      </c>
      <c r="E53" s="377">
        <v>15</v>
      </c>
      <c r="F53" s="377">
        <v>130.16</v>
      </c>
    </row>
    <row r="54" spans="2:6" s="345" customFormat="1">
      <c r="B54" s="385" t="s">
        <v>327</v>
      </c>
      <c r="C54" s="383" t="s">
        <v>2</v>
      </c>
      <c r="D54" s="384">
        <v>26.767499999999998</v>
      </c>
      <c r="E54" s="377">
        <v>0.2</v>
      </c>
      <c r="F54" s="377">
        <v>5.35</v>
      </c>
    </row>
    <row r="55" spans="2:6" s="345" customFormat="1">
      <c r="B55" s="385" t="s">
        <v>329</v>
      </c>
      <c r="C55" s="383" t="s">
        <v>330</v>
      </c>
      <c r="D55" s="384">
        <v>0.373</v>
      </c>
      <c r="E55" s="377">
        <v>4.5</v>
      </c>
      <c r="F55" s="377">
        <v>1.68</v>
      </c>
    </row>
    <row r="56" spans="2:6" s="345" customFormat="1">
      <c r="B56" s="385" t="s">
        <v>430</v>
      </c>
      <c r="C56" s="383" t="s">
        <v>332</v>
      </c>
      <c r="D56" s="384">
        <v>3.3957999999999999</v>
      </c>
      <c r="E56" s="377">
        <v>15</v>
      </c>
      <c r="F56" s="377">
        <v>50.94</v>
      </c>
    </row>
    <row r="57" spans="2:6" s="345" customFormat="1">
      <c r="B57" s="385" t="s">
        <v>335</v>
      </c>
      <c r="C57" s="383" t="s">
        <v>334</v>
      </c>
      <c r="D57" s="384">
        <v>5.3275000000000006</v>
      </c>
      <c r="E57" s="377">
        <v>6</v>
      </c>
      <c r="F57" s="377">
        <v>31.97</v>
      </c>
    </row>
    <row r="58" spans="2:6" s="345" customFormat="1">
      <c r="B58" s="385" t="s">
        <v>331</v>
      </c>
      <c r="C58" s="383" t="s">
        <v>332</v>
      </c>
      <c r="D58" s="384">
        <v>19.407499999999999</v>
      </c>
      <c r="E58" s="377">
        <v>23.5</v>
      </c>
      <c r="F58" s="377">
        <v>456.08</v>
      </c>
    </row>
    <row r="59" spans="2:6" s="345" customFormat="1">
      <c r="B59" s="385" t="s">
        <v>431</v>
      </c>
      <c r="C59" s="383" t="s">
        <v>328</v>
      </c>
      <c r="D59" s="384">
        <v>2.3889999999999998</v>
      </c>
      <c r="E59" s="377">
        <v>60</v>
      </c>
      <c r="F59" s="377">
        <v>143.34</v>
      </c>
    </row>
    <row r="60" spans="2:6" s="345" customFormat="1">
      <c r="B60" s="385" t="s">
        <v>432</v>
      </c>
      <c r="C60" s="383" t="s">
        <v>330</v>
      </c>
      <c r="D60" s="384">
        <v>22.7224</v>
      </c>
      <c r="E60" s="377">
        <v>60</v>
      </c>
      <c r="F60" s="377">
        <v>1363.34</v>
      </c>
    </row>
    <row r="61" spans="2:6" s="345" customFormat="1">
      <c r="B61" s="385" t="s">
        <v>433</v>
      </c>
      <c r="C61" s="383" t="s">
        <v>341</v>
      </c>
      <c r="D61" s="384">
        <v>21.111999999999998</v>
      </c>
      <c r="E61" s="377">
        <v>30</v>
      </c>
      <c r="F61" s="377">
        <v>633.36</v>
      </c>
    </row>
    <row r="62" spans="2:6" s="345" customFormat="1">
      <c r="B62" s="385" t="s">
        <v>434</v>
      </c>
      <c r="C62" s="383" t="s">
        <v>341</v>
      </c>
      <c r="D62" s="384">
        <v>21.111999999999998</v>
      </c>
      <c r="E62" s="377">
        <v>20</v>
      </c>
      <c r="F62" s="377">
        <v>422.24</v>
      </c>
    </row>
    <row r="63" spans="2:6" s="345" customFormat="1">
      <c r="B63" s="385" t="s">
        <v>435</v>
      </c>
      <c r="C63" s="383" t="s">
        <v>330</v>
      </c>
      <c r="D63" s="384">
        <v>16.413900000000002</v>
      </c>
      <c r="E63" s="377">
        <v>85</v>
      </c>
      <c r="F63" s="377">
        <v>1395.18</v>
      </c>
    </row>
    <row r="64" spans="2:6" s="345" customFormat="1">
      <c r="B64" s="385" t="s">
        <v>336</v>
      </c>
      <c r="C64" s="383" t="s">
        <v>337</v>
      </c>
      <c r="D64" s="384">
        <v>30.24</v>
      </c>
      <c r="E64" s="377">
        <v>25.5</v>
      </c>
      <c r="F64" s="377">
        <v>771.12</v>
      </c>
    </row>
    <row r="65" spans="2:6" s="345" customFormat="1">
      <c r="B65" s="385" t="s">
        <v>338</v>
      </c>
      <c r="C65" s="383" t="s">
        <v>330</v>
      </c>
      <c r="D65" s="384">
        <v>8.3520000000000003</v>
      </c>
      <c r="E65" s="377">
        <v>5</v>
      </c>
      <c r="F65" s="377">
        <v>41.76</v>
      </c>
    </row>
    <row r="66" spans="2:6" s="345" customFormat="1">
      <c r="B66" s="385" t="s">
        <v>339</v>
      </c>
      <c r="C66" s="383" t="s">
        <v>330</v>
      </c>
      <c r="D66" s="384">
        <v>1.62</v>
      </c>
      <c r="E66" s="377">
        <v>3</v>
      </c>
      <c r="F66" s="377">
        <v>4.8600000000000003</v>
      </c>
    </row>
    <row r="67" spans="2:6" s="345" customFormat="1">
      <c r="B67" s="385" t="s">
        <v>340</v>
      </c>
      <c r="C67" s="383" t="s">
        <v>341</v>
      </c>
      <c r="D67" s="384">
        <v>2.4300000000000002</v>
      </c>
      <c r="E67" s="377">
        <v>5.2</v>
      </c>
      <c r="F67" s="377">
        <v>12.64</v>
      </c>
    </row>
    <row r="68" spans="2:6" s="345" customFormat="1">
      <c r="B68" s="386" t="s">
        <v>333</v>
      </c>
      <c r="C68" s="383" t="s">
        <v>334</v>
      </c>
      <c r="D68" s="384">
        <v>0.33300000000000002</v>
      </c>
      <c r="E68" s="377">
        <v>4.5</v>
      </c>
      <c r="F68" s="377">
        <v>1.5</v>
      </c>
    </row>
    <row r="69" spans="2:6" s="345" customFormat="1">
      <c r="B69" s="385" t="s">
        <v>342</v>
      </c>
      <c r="C69" s="383" t="s">
        <v>6</v>
      </c>
      <c r="D69" s="384">
        <v>1.1375</v>
      </c>
      <c r="E69" s="377">
        <v>25</v>
      </c>
      <c r="F69" s="377">
        <v>28.44</v>
      </c>
    </row>
    <row r="70" spans="2:6" s="345" customFormat="1">
      <c r="B70" s="385" t="s">
        <v>343</v>
      </c>
      <c r="C70" s="383" t="s">
        <v>337</v>
      </c>
      <c r="D70" s="384">
        <v>11.375</v>
      </c>
      <c r="E70" s="377">
        <v>40</v>
      </c>
      <c r="F70" s="377">
        <v>455</v>
      </c>
    </row>
    <row r="71" spans="2:6" s="345" customFormat="1">
      <c r="B71" s="385" t="s">
        <v>344</v>
      </c>
      <c r="C71" s="383" t="s">
        <v>77</v>
      </c>
      <c r="D71" s="384">
        <v>45.5</v>
      </c>
      <c r="E71" s="377">
        <v>9</v>
      </c>
      <c r="F71" s="377">
        <v>409.5</v>
      </c>
    </row>
    <row r="72" spans="2:6" s="345" customFormat="1">
      <c r="B72" s="385" t="s">
        <v>345</v>
      </c>
      <c r="C72" s="383" t="s">
        <v>346</v>
      </c>
      <c r="D72" s="384">
        <v>119.4375</v>
      </c>
      <c r="E72" s="377">
        <v>7.12</v>
      </c>
      <c r="F72" s="377">
        <v>850.4</v>
      </c>
    </row>
    <row r="73" spans="2:6" s="345" customFormat="1">
      <c r="B73" s="385" t="s">
        <v>436</v>
      </c>
      <c r="C73" s="383" t="s">
        <v>341</v>
      </c>
      <c r="D73" s="384">
        <v>12.16</v>
      </c>
      <c r="E73" s="377">
        <v>6.2</v>
      </c>
      <c r="F73" s="377">
        <v>75.39</v>
      </c>
    </row>
    <row r="74" spans="2:6" s="345" customFormat="1">
      <c r="B74" s="385" t="s">
        <v>437</v>
      </c>
      <c r="C74" s="383" t="s">
        <v>341</v>
      </c>
      <c r="D74" s="384">
        <v>16.72</v>
      </c>
      <c r="E74" s="377">
        <v>10.3</v>
      </c>
      <c r="F74" s="377">
        <v>172.22</v>
      </c>
    </row>
    <row r="75" spans="2:6" s="345" customFormat="1">
      <c r="B75" s="385" t="s">
        <v>438</v>
      </c>
      <c r="C75" s="383" t="s">
        <v>341</v>
      </c>
      <c r="D75" s="384">
        <v>2.0329999999999999</v>
      </c>
      <c r="E75" s="377">
        <v>8.5</v>
      </c>
      <c r="F75" s="377">
        <v>17.28</v>
      </c>
    </row>
    <row r="76" spans="2:6" s="345" customFormat="1">
      <c r="B76" s="385" t="s">
        <v>348</v>
      </c>
      <c r="C76" s="383" t="s">
        <v>132</v>
      </c>
      <c r="D76" s="384">
        <v>12</v>
      </c>
      <c r="E76" s="377">
        <v>10</v>
      </c>
      <c r="F76" s="377">
        <v>120</v>
      </c>
    </row>
    <row r="77" spans="2:6" s="345" customFormat="1">
      <c r="B77" s="385" t="s">
        <v>439</v>
      </c>
      <c r="C77" s="383" t="s">
        <v>2</v>
      </c>
      <c r="D77" s="384">
        <v>1</v>
      </c>
      <c r="E77" s="377">
        <v>125</v>
      </c>
      <c r="F77" s="377">
        <v>125</v>
      </c>
    </row>
    <row r="78" spans="2:6" s="345" customFormat="1">
      <c r="B78" s="385" t="s">
        <v>349</v>
      </c>
      <c r="C78" s="383" t="s">
        <v>2</v>
      </c>
      <c r="D78" s="384">
        <v>3</v>
      </c>
      <c r="E78" s="377">
        <v>65</v>
      </c>
      <c r="F78" s="377">
        <v>195</v>
      </c>
    </row>
    <row r="79" spans="2:6" s="345" customFormat="1">
      <c r="B79" s="385" t="s">
        <v>350</v>
      </c>
      <c r="C79" s="383" t="s">
        <v>351</v>
      </c>
      <c r="D79" s="384">
        <v>19.374099999999999</v>
      </c>
      <c r="E79" s="377">
        <v>20</v>
      </c>
      <c r="F79" s="377">
        <v>387.48</v>
      </c>
    </row>
    <row r="80" spans="2:6" s="345" customFormat="1">
      <c r="B80" s="385" t="s">
        <v>352</v>
      </c>
      <c r="C80" s="383" t="s">
        <v>2</v>
      </c>
      <c r="D80" s="384">
        <v>76.567999999999998</v>
      </c>
      <c r="E80" s="377">
        <v>2</v>
      </c>
      <c r="F80" s="377">
        <v>153.13999999999999</v>
      </c>
    </row>
    <row r="81" spans="2:6" s="345" customFormat="1">
      <c r="B81" s="385" t="s">
        <v>353</v>
      </c>
      <c r="C81" s="383" t="s">
        <v>6</v>
      </c>
      <c r="D81" s="384">
        <v>82.51</v>
      </c>
      <c r="E81" s="377">
        <v>18.5</v>
      </c>
      <c r="F81" s="377">
        <v>1526.44</v>
      </c>
    </row>
    <row r="82" spans="2:6" s="345" customFormat="1">
      <c r="B82" s="385" t="s">
        <v>354</v>
      </c>
      <c r="C82" s="383" t="s">
        <v>6</v>
      </c>
      <c r="D82" s="384">
        <v>3.3965999999999998</v>
      </c>
      <c r="E82" s="377">
        <v>20</v>
      </c>
      <c r="F82" s="377">
        <v>67.930000000000007</v>
      </c>
    </row>
    <row r="83" spans="2:6" s="345" customFormat="1">
      <c r="B83" s="385" t="s">
        <v>355</v>
      </c>
      <c r="C83" s="383" t="s">
        <v>6</v>
      </c>
      <c r="D83" s="384">
        <v>27.8705</v>
      </c>
      <c r="E83" s="377">
        <v>110</v>
      </c>
      <c r="F83" s="377">
        <v>3065.76</v>
      </c>
    </row>
    <row r="84" spans="2:6" s="345" customFormat="1">
      <c r="B84" s="385" t="s">
        <v>358</v>
      </c>
      <c r="C84" s="383" t="s">
        <v>357</v>
      </c>
      <c r="D84" s="384">
        <v>15.773199999999999</v>
      </c>
      <c r="E84" s="377">
        <v>49.5</v>
      </c>
      <c r="F84" s="377">
        <v>780.77</v>
      </c>
    </row>
    <row r="85" spans="2:6" s="345" customFormat="1">
      <c r="B85" s="385" t="s">
        <v>359</v>
      </c>
      <c r="C85" s="383" t="s">
        <v>357</v>
      </c>
      <c r="D85" s="384">
        <v>46.911499999999997</v>
      </c>
      <c r="E85" s="377">
        <v>35</v>
      </c>
      <c r="F85" s="377">
        <v>1641.9</v>
      </c>
    </row>
    <row r="86" spans="2:6" s="345" customFormat="1">
      <c r="B86" s="385" t="s">
        <v>356</v>
      </c>
      <c r="C86" s="383" t="s">
        <v>357</v>
      </c>
      <c r="D86" s="384">
        <v>2.8146</v>
      </c>
      <c r="E86" s="377">
        <v>40</v>
      </c>
      <c r="F86" s="377">
        <v>112.58</v>
      </c>
    </row>
    <row r="87" spans="2:6" s="345" customFormat="1">
      <c r="B87" s="385" t="s">
        <v>360</v>
      </c>
      <c r="C87" s="383" t="s">
        <v>357</v>
      </c>
      <c r="D87" s="384">
        <v>2.7761999999999998</v>
      </c>
      <c r="E87" s="377">
        <v>49.5</v>
      </c>
      <c r="F87" s="377">
        <v>137.41999999999999</v>
      </c>
    </row>
    <row r="88" spans="2:6" s="345" customFormat="1">
      <c r="B88" s="385" t="s">
        <v>105</v>
      </c>
      <c r="C88" s="383" t="s">
        <v>2</v>
      </c>
      <c r="D88" s="384">
        <v>0.2</v>
      </c>
      <c r="E88" s="377">
        <v>2</v>
      </c>
      <c r="F88" s="377">
        <v>0.4</v>
      </c>
    </row>
    <row r="89" spans="2:6" s="345" customFormat="1">
      <c r="B89" s="385" t="s">
        <v>361</v>
      </c>
      <c r="C89" s="383" t="s">
        <v>77</v>
      </c>
      <c r="D89" s="384">
        <v>4</v>
      </c>
      <c r="E89" s="377">
        <v>4.9000000000000004</v>
      </c>
      <c r="F89" s="377">
        <v>19.600000000000001</v>
      </c>
    </row>
    <row r="90" spans="2:6" s="345" customFormat="1">
      <c r="B90" s="385" t="s">
        <v>362</v>
      </c>
      <c r="C90" s="383" t="s">
        <v>2</v>
      </c>
      <c r="D90" s="384">
        <v>4</v>
      </c>
      <c r="E90" s="377">
        <v>10</v>
      </c>
      <c r="F90" s="377">
        <v>40</v>
      </c>
    </row>
    <row r="91" spans="2:6" s="345" customFormat="1">
      <c r="B91" s="385" t="s">
        <v>363</v>
      </c>
      <c r="C91" s="383" t="s">
        <v>2</v>
      </c>
      <c r="D91" s="384">
        <v>2</v>
      </c>
      <c r="E91" s="377">
        <v>30</v>
      </c>
      <c r="F91" s="377">
        <v>60</v>
      </c>
    </row>
    <row r="92" spans="2:6" s="345" customFormat="1">
      <c r="B92" s="385" t="s">
        <v>440</v>
      </c>
      <c r="C92" s="383" t="s">
        <v>2</v>
      </c>
      <c r="D92" s="384">
        <v>6.2685000000000004</v>
      </c>
      <c r="E92" s="377">
        <v>7.5</v>
      </c>
      <c r="F92" s="377">
        <v>47.010000000000012</v>
      </c>
    </row>
    <row r="93" spans="2:6" s="345" customFormat="1">
      <c r="B93" s="385" t="s">
        <v>441</v>
      </c>
      <c r="C93" s="383" t="s">
        <v>442</v>
      </c>
      <c r="D93" s="384">
        <v>9</v>
      </c>
      <c r="E93" s="377">
        <v>1.5</v>
      </c>
      <c r="F93" s="377">
        <v>13.5</v>
      </c>
    </row>
    <row r="94" spans="2:6" s="345" customFormat="1">
      <c r="B94" s="385" t="s">
        <v>443</v>
      </c>
      <c r="C94" s="383" t="s">
        <v>357</v>
      </c>
      <c r="D94" s="384">
        <v>6.83E-2</v>
      </c>
      <c r="E94" s="377">
        <v>170</v>
      </c>
      <c r="F94" s="377">
        <v>11.61</v>
      </c>
    </row>
    <row r="95" spans="2:6" s="345" customFormat="1">
      <c r="B95" s="385" t="s">
        <v>444</v>
      </c>
      <c r="C95" s="383" t="s">
        <v>2</v>
      </c>
      <c r="D95" s="384">
        <v>2</v>
      </c>
      <c r="E95" s="377">
        <v>1.7</v>
      </c>
      <c r="F95" s="377">
        <v>3.4</v>
      </c>
    </row>
    <row r="96" spans="2:6" s="345" customFormat="1">
      <c r="B96" s="385" t="s">
        <v>445</v>
      </c>
      <c r="C96" s="383" t="s">
        <v>442</v>
      </c>
      <c r="D96" s="384">
        <v>15.8</v>
      </c>
      <c r="E96" s="377">
        <v>28</v>
      </c>
      <c r="F96" s="377">
        <v>442.4</v>
      </c>
    </row>
    <row r="97" spans="2:6" s="345" customFormat="1">
      <c r="B97" s="385" t="s">
        <v>446</v>
      </c>
      <c r="C97" s="383" t="s">
        <v>77</v>
      </c>
      <c r="D97" s="384">
        <v>1</v>
      </c>
      <c r="E97" s="377">
        <v>8.1999999999999993</v>
      </c>
      <c r="F97" s="377">
        <v>8.1999999999999993</v>
      </c>
    </row>
    <row r="98" spans="2:6" s="345" customFormat="1">
      <c r="B98" s="385" t="s">
        <v>447</v>
      </c>
      <c r="C98" s="383" t="s">
        <v>2</v>
      </c>
      <c r="D98" s="384">
        <v>1</v>
      </c>
      <c r="E98" s="377">
        <v>36</v>
      </c>
      <c r="F98" s="377">
        <v>36</v>
      </c>
    </row>
    <row r="99" spans="2:6" s="345" customFormat="1">
      <c r="B99" s="385" t="s">
        <v>448</v>
      </c>
      <c r="C99" s="383" t="s">
        <v>2</v>
      </c>
      <c r="D99" s="384">
        <v>1</v>
      </c>
      <c r="E99" s="377">
        <v>17</v>
      </c>
      <c r="F99" s="377">
        <v>17</v>
      </c>
    </row>
    <row r="100" spans="2:6" s="345" customFormat="1">
      <c r="B100" s="385" t="s">
        <v>449</v>
      </c>
      <c r="C100" s="383" t="s">
        <v>442</v>
      </c>
      <c r="D100" s="384">
        <v>4.1505000000000001</v>
      </c>
      <c r="E100" s="377">
        <v>16</v>
      </c>
      <c r="F100" s="377">
        <v>66.41</v>
      </c>
    </row>
    <row r="101" spans="2:6" s="345" customFormat="1">
      <c r="B101" s="385" t="s">
        <v>450</v>
      </c>
      <c r="C101" s="383" t="s">
        <v>2</v>
      </c>
      <c r="D101" s="384">
        <v>8</v>
      </c>
      <c r="E101" s="377">
        <v>1.8</v>
      </c>
      <c r="F101" s="377">
        <v>14.4</v>
      </c>
    </row>
    <row r="102" spans="2:6" s="345" customFormat="1">
      <c r="B102" s="385" t="s">
        <v>451</v>
      </c>
      <c r="C102" s="383" t="s">
        <v>2</v>
      </c>
      <c r="D102" s="384">
        <v>3</v>
      </c>
      <c r="E102" s="377">
        <v>16</v>
      </c>
      <c r="F102" s="377">
        <v>48</v>
      </c>
    </row>
    <row r="103" spans="2:6" s="345" customFormat="1">
      <c r="B103" s="385" t="s">
        <v>452</v>
      </c>
      <c r="C103" s="383" t="s">
        <v>2</v>
      </c>
      <c r="D103" s="384">
        <v>3</v>
      </c>
      <c r="E103" s="377">
        <v>8</v>
      </c>
      <c r="F103" s="377">
        <v>24</v>
      </c>
    </row>
    <row r="104" spans="2:6" s="345" customFormat="1">
      <c r="B104" s="385" t="s">
        <v>453</v>
      </c>
      <c r="C104" s="383" t="s">
        <v>2</v>
      </c>
      <c r="D104" s="384">
        <v>1</v>
      </c>
      <c r="E104" s="377">
        <v>6</v>
      </c>
      <c r="F104" s="377">
        <v>6</v>
      </c>
    </row>
    <row r="105" spans="2:6" s="345" customFormat="1">
      <c r="B105" s="385" t="s">
        <v>454</v>
      </c>
      <c r="C105" s="383" t="s">
        <v>2</v>
      </c>
      <c r="D105" s="384">
        <v>1</v>
      </c>
      <c r="E105" s="377">
        <v>150</v>
      </c>
      <c r="F105" s="377">
        <v>150</v>
      </c>
    </row>
    <row r="106" spans="2:6" s="345" customFormat="1">
      <c r="B106" s="385" t="s">
        <v>455</v>
      </c>
      <c r="C106" s="383" t="s">
        <v>2</v>
      </c>
      <c r="D106" s="384">
        <v>1</v>
      </c>
      <c r="E106" s="377">
        <v>220</v>
      </c>
      <c r="F106" s="377">
        <v>220</v>
      </c>
    </row>
    <row r="107" spans="2:6" s="345" customFormat="1">
      <c r="B107" s="385" t="s">
        <v>456</v>
      </c>
      <c r="C107" s="383" t="s">
        <v>2</v>
      </c>
      <c r="D107" s="384">
        <v>1</v>
      </c>
      <c r="E107" s="377">
        <v>180</v>
      </c>
      <c r="F107" s="377">
        <v>180</v>
      </c>
    </row>
    <row r="108" spans="2:6" s="345" customFormat="1">
      <c r="B108" s="385" t="s">
        <v>364</v>
      </c>
      <c r="C108" s="383" t="s">
        <v>346</v>
      </c>
      <c r="D108" s="384">
        <v>48</v>
      </c>
      <c r="E108" s="377">
        <v>1.4</v>
      </c>
      <c r="F108" s="377">
        <v>67.2</v>
      </c>
    </row>
    <row r="109" spans="2:6" s="345" customFormat="1">
      <c r="B109" s="385" t="s">
        <v>365</v>
      </c>
      <c r="C109" s="383" t="s">
        <v>6</v>
      </c>
      <c r="D109" s="384">
        <v>0.182</v>
      </c>
      <c r="E109" s="377">
        <v>90</v>
      </c>
      <c r="F109" s="377">
        <v>16.38</v>
      </c>
    </row>
    <row r="110" spans="2:6" s="345" customFormat="1">
      <c r="B110" s="385" t="s">
        <v>366</v>
      </c>
      <c r="C110" s="383" t="s">
        <v>2</v>
      </c>
      <c r="D110" s="384">
        <v>7.6</v>
      </c>
      <c r="E110" s="377">
        <v>2.5</v>
      </c>
      <c r="F110" s="377">
        <v>19</v>
      </c>
    </row>
    <row r="111" spans="2:6" s="345" customFormat="1">
      <c r="B111" s="385" t="s">
        <v>367</v>
      </c>
      <c r="C111" s="383" t="s">
        <v>77</v>
      </c>
      <c r="D111" s="384">
        <v>12</v>
      </c>
      <c r="E111" s="377">
        <v>3.5</v>
      </c>
      <c r="F111" s="377">
        <v>42</v>
      </c>
    </row>
    <row r="112" spans="2:6" s="345" customFormat="1">
      <c r="B112" s="385" t="s">
        <v>368</v>
      </c>
      <c r="C112" s="383" t="s">
        <v>77</v>
      </c>
      <c r="D112" s="384">
        <v>20</v>
      </c>
      <c r="E112" s="377">
        <v>5</v>
      </c>
      <c r="F112" s="377">
        <v>100</v>
      </c>
    </row>
    <row r="113" spans="2:6" s="345" customFormat="1">
      <c r="B113" s="385" t="s">
        <v>369</v>
      </c>
      <c r="C113" s="383" t="s">
        <v>77</v>
      </c>
      <c r="D113" s="384">
        <v>32</v>
      </c>
      <c r="E113" s="377">
        <v>0.8</v>
      </c>
      <c r="F113" s="377">
        <v>25.6</v>
      </c>
    </row>
    <row r="114" spans="2:6" s="345" customFormat="1">
      <c r="B114" s="385" t="s">
        <v>370</v>
      </c>
      <c r="C114" s="383" t="s">
        <v>77</v>
      </c>
      <c r="D114" s="384">
        <v>32</v>
      </c>
      <c r="E114" s="377">
        <v>1.8</v>
      </c>
      <c r="F114" s="377">
        <v>57.6</v>
      </c>
    </row>
    <row r="115" spans="2:6" s="345" customFormat="1">
      <c r="B115" s="385" t="s">
        <v>371</v>
      </c>
      <c r="C115" s="383" t="s">
        <v>77</v>
      </c>
      <c r="D115" s="384">
        <v>12</v>
      </c>
      <c r="E115" s="377">
        <v>0.8</v>
      </c>
      <c r="F115" s="377">
        <v>9.6</v>
      </c>
    </row>
    <row r="116" spans="2:6" s="345" customFormat="1">
      <c r="B116" s="385" t="s">
        <v>372</v>
      </c>
      <c r="C116" s="383" t="s">
        <v>2</v>
      </c>
      <c r="D116" s="384">
        <v>2</v>
      </c>
      <c r="E116" s="377">
        <v>7</v>
      </c>
      <c r="F116" s="377">
        <v>14</v>
      </c>
    </row>
    <row r="117" spans="2:6" s="345" customFormat="1">
      <c r="B117" s="385" t="s">
        <v>373</v>
      </c>
      <c r="C117" s="383" t="s">
        <v>346</v>
      </c>
      <c r="D117" s="384">
        <v>30</v>
      </c>
      <c r="E117" s="377">
        <v>2.4</v>
      </c>
      <c r="F117" s="377">
        <v>72</v>
      </c>
    </row>
    <row r="118" spans="2:6" s="345" customFormat="1">
      <c r="B118" s="385" t="s">
        <v>374</v>
      </c>
      <c r="C118" s="383" t="s">
        <v>77</v>
      </c>
      <c r="D118" s="384">
        <v>10</v>
      </c>
      <c r="E118" s="377">
        <v>11</v>
      </c>
      <c r="F118" s="377">
        <v>110</v>
      </c>
    </row>
    <row r="119" spans="2:6" s="345" customFormat="1">
      <c r="B119" s="385" t="s">
        <v>375</v>
      </c>
      <c r="C119" s="383" t="s">
        <v>347</v>
      </c>
      <c r="D119" s="384">
        <v>47.25</v>
      </c>
      <c r="E119" s="377">
        <v>4.5</v>
      </c>
      <c r="F119" s="377">
        <v>212.63</v>
      </c>
    </row>
    <row r="120" spans="2:6" s="345" customFormat="1">
      <c r="B120" s="385" t="s">
        <v>376</v>
      </c>
      <c r="C120" s="383" t="s">
        <v>2</v>
      </c>
      <c r="D120" s="384">
        <v>14</v>
      </c>
      <c r="E120" s="377">
        <v>175</v>
      </c>
      <c r="F120" s="377">
        <v>2450</v>
      </c>
    </row>
    <row r="121" spans="2:6" s="345" customFormat="1">
      <c r="B121" s="385" t="s">
        <v>377</v>
      </c>
      <c r="C121" s="383" t="s">
        <v>2</v>
      </c>
      <c r="D121" s="384">
        <v>2</v>
      </c>
      <c r="E121" s="377">
        <v>1.5</v>
      </c>
      <c r="F121" s="377">
        <v>3</v>
      </c>
    </row>
    <row r="122" spans="2:6" s="345" customFormat="1">
      <c r="B122" s="385" t="s">
        <v>378</v>
      </c>
      <c r="C122" s="383" t="s">
        <v>77</v>
      </c>
      <c r="D122" s="384">
        <v>1</v>
      </c>
      <c r="E122" s="377">
        <v>45</v>
      </c>
      <c r="F122" s="377">
        <v>45</v>
      </c>
    </row>
    <row r="123" spans="2:6" s="345" customFormat="1">
      <c r="B123" s="385" t="s">
        <v>379</v>
      </c>
      <c r="C123" s="383" t="s">
        <v>77</v>
      </c>
      <c r="D123" s="384">
        <v>1</v>
      </c>
      <c r="E123" s="377">
        <v>135</v>
      </c>
      <c r="F123" s="377">
        <v>135</v>
      </c>
    </row>
    <row r="124" spans="2:6" s="345" customFormat="1">
      <c r="B124" s="385" t="s">
        <v>380</v>
      </c>
      <c r="C124" s="383" t="s">
        <v>2</v>
      </c>
      <c r="D124" s="384">
        <v>1</v>
      </c>
      <c r="E124" s="377">
        <v>25</v>
      </c>
      <c r="F124" s="377">
        <v>25</v>
      </c>
    </row>
    <row r="125" spans="2:6" s="345" customFormat="1">
      <c r="B125" s="385" t="s">
        <v>381</v>
      </c>
      <c r="C125" s="383" t="s">
        <v>2</v>
      </c>
      <c r="D125" s="384">
        <v>1</v>
      </c>
      <c r="E125" s="377">
        <v>280</v>
      </c>
      <c r="F125" s="377">
        <v>280</v>
      </c>
    </row>
    <row r="126" spans="2:6" s="345" customFormat="1">
      <c r="B126" s="385" t="s">
        <v>382</v>
      </c>
      <c r="C126" s="383" t="s">
        <v>328</v>
      </c>
      <c r="D126" s="384">
        <v>2.5</v>
      </c>
      <c r="E126" s="377">
        <v>30</v>
      </c>
      <c r="F126" s="377">
        <v>75</v>
      </c>
    </row>
    <row r="127" spans="2:6" s="345" customFormat="1">
      <c r="B127" s="385" t="s">
        <v>383</v>
      </c>
      <c r="C127" s="383" t="s">
        <v>384</v>
      </c>
      <c r="D127" s="384">
        <v>2</v>
      </c>
      <c r="E127" s="377">
        <v>90</v>
      </c>
      <c r="F127" s="377">
        <v>180</v>
      </c>
    </row>
    <row r="128" spans="2:6" s="345" customFormat="1">
      <c r="B128" s="385" t="s">
        <v>385</v>
      </c>
      <c r="C128" s="383" t="s">
        <v>2</v>
      </c>
      <c r="D128" s="384">
        <v>1</v>
      </c>
      <c r="E128" s="377">
        <v>50</v>
      </c>
      <c r="F128" s="377">
        <v>50</v>
      </c>
    </row>
    <row r="129" spans="2:6" s="345" customFormat="1">
      <c r="B129" s="385" t="s">
        <v>386</v>
      </c>
      <c r="C129" s="383" t="s">
        <v>2</v>
      </c>
      <c r="D129" s="384">
        <v>1</v>
      </c>
      <c r="E129" s="377">
        <v>10</v>
      </c>
      <c r="F129" s="377">
        <v>10</v>
      </c>
    </row>
    <row r="130" spans="2:6" s="345" customFormat="1">
      <c r="B130" s="385" t="s">
        <v>387</v>
      </c>
      <c r="C130" s="383" t="s">
        <v>2</v>
      </c>
      <c r="D130" s="384">
        <v>1</v>
      </c>
      <c r="E130" s="377">
        <v>190</v>
      </c>
      <c r="F130" s="377">
        <v>190</v>
      </c>
    </row>
    <row r="131" spans="2:6" s="345" customFormat="1">
      <c r="B131" s="385" t="s">
        <v>388</v>
      </c>
      <c r="C131" s="383" t="s">
        <v>330</v>
      </c>
      <c r="D131" s="384">
        <v>120</v>
      </c>
      <c r="E131" s="377">
        <v>0.3</v>
      </c>
      <c r="F131" s="377">
        <v>36</v>
      </c>
    </row>
    <row r="132" spans="2:6" s="345" customFormat="1">
      <c r="B132" s="385"/>
      <c r="C132" s="383"/>
      <c r="D132" s="384"/>
      <c r="E132" s="377"/>
      <c r="F132" s="390">
        <v>22140.04</v>
      </c>
    </row>
    <row r="133" spans="2:6" s="391" customFormat="1">
      <c r="B133" s="392" t="s">
        <v>389</v>
      </c>
      <c r="C133" s="388"/>
      <c r="D133" s="389"/>
      <c r="E133" s="389"/>
      <c r="F133" s="389"/>
    </row>
    <row r="134" spans="2:6" s="345" customFormat="1">
      <c r="B134" s="385" t="s">
        <v>390</v>
      </c>
      <c r="C134" s="383" t="s">
        <v>391</v>
      </c>
      <c r="D134" s="384"/>
      <c r="E134" s="377"/>
      <c r="F134" s="377">
        <v>1251.3799999999669</v>
      </c>
    </row>
    <row r="135" spans="2:6" s="345" customFormat="1">
      <c r="B135" s="385" t="s">
        <v>392</v>
      </c>
      <c r="C135" s="383" t="s">
        <v>393</v>
      </c>
      <c r="D135" s="384">
        <v>3.98</v>
      </c>
      <c r="E135" s="377">
        <v>245</v>
      </c>
      <c r="F135" s="377">
        <v>975.1</v>
      </c>
    </row>
    <row r="136" spans="2:6" s="345" customFormat="1">
      <c r="B136" s="385" t="s">
        <v>457</v>
      </c>
      <c r="C136" s="383" t="s">
        <v>393</v>
      </c>
      <c r="D136" s="384">
        <v>2.3098999999999998</v>
      </c>
      <c r="E136" s="377">
        <v>5.69</v>
      </c>
      <c r="F136" s="377">
        <v>13.14</v>
      </c>
    </row>
    <row r="137" spans="2:6" s="345" customFormat="1">
      <c r="B137" s="385" t="s">
        <v>394</v>
      </c>
      <c r="C137" s="383" t="s">
        <v>393</v>
      </c>
      <c r="D137" s="384">
        <v>708.18350000000009</v>
      </c>
      <c r="E137" s="377">
        <v>3</v>
      </c>
      <c r="F137" s="377">
        <v>2124.5500000000002</v>
      </c>
    </row>
    <row r="138" spans="2:6" s="345" customFormat="1">
      <c r="B138" s="385"/>
      <c r="C138" s="383"/>
      <c r="D138" s="384"/>
      <c r="E138" s="377"/>
      <c r="F138" s="390">
        <v>4364.17</v>
      </c>
    </row>
    <row r="139" spans="2:6" s="391" customFormat="1">
      <c r="B139" s="392" t="s">
        <v>395</v>
      </c>
      <c r="C139" s="388"/>
      <c r="D139" s="389"/>
      <c r="E139" s="389"/>
      <c r="F139" s="389"/>
    </row>
    <row r="140" spans="2:6" s="345" customFormat="1">
      <c r="B140" s="385" t="s">
        <v>396</v>
      </c>
      <c r="C140" s="383" t="s">
        <v>9</v>
      </c>
      <c r="D140" s="384">
        <v>1</v>
      </c>
      <c r="E140" s="377">
        <v>5600</v>
      </c>
      <c r="F140" s="377">
        <v>5600</v>
      </c>
    </row>
    <row r="141" spans="2:6" s="345" customFormat="1">
      <c r="B141" s="385" t="s">
        <v>397</v>
      </c>
      <c r="C141" s="383" t="s">
        <v>328</v>
      </c>
      <c r="D141" s="384">
        <v>0.66600000000000004</v>
      </c>
      <c r="E141" s="377">
        <v>420</v>
      </c>
      <c r="F141" s="377">
        <v>279.72000000000003</v>
      </c>
    </row>
    <row r="142" spans="2:6" s="345" customFormat="1">
      <c r="B142" s="385" t="s">
        <v>458</v>
      </c>
      <c r="C142" s="383" t="s">
        <v>9</v>
      </c>
      <c r="D142" s="384">
        <v>1</v>
      </c>
      <c r="E142" s="377">
        <v>3350</v>
      </c>
      <c r="F142" s="377">
        <v>3350</v>
      </c>
    </row>
    <row r="143" spans="2:6" s="345" customFormat="1">
      <c r="B143" s="385" t="s">
        <v>459</v>
      </c>
      <c r="C143" s="383" t="s">
        <v>337</v>
      </c>
      <c r="D143" s="384">
        <v>4.37</v>
      </c>
      <c r="E143" s="377">
        <v>350</v>
      </c>
      <c r="F143" s="377">
        <v>1529.5</v>
      </c>
    </row>
    <row r="144" spans="2:6" s="345" customFormat="1">
      <c r="B144" s="385" t="s">
        <v>398</v>
      </c>
      <c r="C144" s="383" t="s">
        <v>337</v>
      </c>
      <c r="D144" s="384">
        <v>4.87</v>
      </c>
      <c r="E144" s="377">
        <v>200</v>
      </c>
      <c r="F144" s="377">
        <v>974</v>
      </c>
    </row>
    <row r="145" spans="2:6" s="345" customFormat="1">
      <c r="B145" s="385" t="s">
        <v>399</v>
      </c>
      <c r="C145" s="383" t="s">
        <v>77</v>
      </c>
      <c r="D145" s="384">
        <v>3</v>
      </c>
      <c r="E145" s="377">
        <v>650</v>
      </c>
      <c r="F145" s="377">
        <v>1950</v>
      </c>
    </row>
    <row r="146" spans="2:6" s="345" customFormat="1">
      <c r="B146" s="385" t="s">
        <v>400</v>
      </c>
      <c r="C146" s="383" t="s">
        <v>9</v>
      </c>
      <c r="D146" s="384">
        <v>1</v>
      </c>
      <c r="E146" s="377">
        <v>5000</v>
      </c>
      <c r="F146" s="377">
        <v>5000</v>
      </c>
    </row>
    <row r="147" spans="2:6" s="345" customFormat="1">
      <c r="B147" s="385"/>
      <c r="C147" s="383"/>
      <c r="D147" s="384"/>
      <c r="E147" s="377"/>
      <c r="F147" s="390">
        <v>18683.22</v>
      </c>
    </row>
    <row r="148" spans="2:6" s="391" customFormat="1">
      <c r="B148" s="392" t="s">
        <v>401</v>
      </c>
      <c r="C148" s="388"/>
      <c r="D148" s="389"/>
      <c r="E148" s="389"/>
      <c r="F148" s="389"/>
    </row>
    <row r="149" spans="2:6" s="345" customFormat="1">
      <c r="B149" s="385" t="s">
        <v>402</v>
      </c>
      <c r="C149" s="383" t="s">
        <v>2</v>
      </c>
      <c r="D149" s="384">
        <v>1</v>
      </c>
      <c r="E149" s="377">
        <v>29063.439999999999</v>
      </c>
      <c r="F149" s="377">
        <v>29063.439999999999</v>
      </c>
    </row>
    <row r="150" spans="2:6" s="345" customFormat="1">
      <c r="B150" s="385" t="s">
        <v>403</v>
      </c>
      <c r="C150" s="383" t="s">
        <v>2</v>
      </c>
      <c r="D150" s="384">
        <v>5</v>
      </c>
      <c r="E150" s="377">
        <v>9980.75</v>
      </c>
      <c r="F150" s="377">
        <v>49903.75</v>
      </c>
    </row>
    <row r="151" spans="2:6" s="345" customFormat="1">
      <c r="B151" s="385" t="s">
        <v>404</v>
      </c>
      <c r="C151" s="383" t="s">
        <v>2</v>
      </c>
      <c r="D151" s="384">
        <v>2</v>
      </c>
      <c r="E151" s="377">
        <v>16096.67</v>
      </c>
      <c r="F151" s="377">
        <v>32193.34</v>
      </c>
    </row>
    <row r="152" spans="2:6" s="345" customFormat="1">
      <c r="B152" s="385" t="s">
        <v>406</v>
      </c>
      <c r="C152" s="383" t="s">
        <v>2</v>
      </c>
      <c r="D152" s="384">
        <v>5</v>
      </c>
      <c r="E152" s="377">
        <v>2845</v>
      </c>
      <c r="F152" s="377">
        <v>14225</v>
      </c>
    </row>
    <row r="153" spans="2:6" s="345" customFormat="1">
      <c r="B153" s="385" t="s">
        <v>405</v>
      </c>
      <c r="C153" s="383" t="s">
        <v>2</v>
      </c>
      <c r="D153" s="384">
        <v>2</v>
      </c>
      <c r="E153" s="377">
        <v>2995</v>
      </c>
      <c r="F153" s="377">
        <v>5990</v>
      </c>
    </row>
    <row r="154" spans="2:6" s="345" customFormat="1">
      <c r="B154" s="385" t="s">
        <v>407</v>
      </c>
      <c r="C154" s="383" t="s">
        <v>2</v>
      </c>
      <c r="D154" s="384">
        <v>1</v>
      </c>
      <c r="E154" s="377">
        <v>48088.33</v>
      </c>
      <c r="F154" s="377">
        <v>48088.33</v>
      </c>
    </row>
    <row r="155" spans="2:6" s="345" customFormat="1">
      <c r="B155" s="385" t="s">
        <v>408</v>
      </c>
      <c r="C155" s="383" t="s">
        <v>2</v>
      </c>
      <c r="D155" s="384">
        <v>1</v>
      </c>
      <c r="E155" s="377">
        <v>1475</v>
      </c>
      <c r="F155" s="377">
        <v>1475</v>
      </c>
    </row>
    <row r="156" spans="2:6" s="345" customFormat="1">
      <c r="B156" s="385" t="s">
        <v>409</v>
      </c>
      <c r="C156" s="383" t="s">
        <v>2</v>
      </c>
      <c r="D156" s="384">
        <v>1</v>
      </c>
      <c r="E156" s="377">
        <v>3270.67</v>
      </c>
      <c r="F156" s="377">
        <v>3270.67</v>
      </c>
    </row>
    <row r="157" spans="2:6" s="345" customFormat="1">
      <c r="B157" s="385" t="s">
        <v>410</v>
      </c>
      <c r="C157" s="383" t="s">
        <v>2</v>
      </c>
      <c r="D157" s="384">
        <v>1</v>
      </c>
      <c r="E157" s="377">
        <v>31296.67</v>
      </c>
      <c r="F157" s="377">
        <v>31296.67</v>
      </c>
    </row>
    <row r="158" spans="2:6" s="345" customFormat="1">
      <c r="B158" s="385" t="s">
        <v>411</v>
      </c>
      <c r="C158" s="383" t="s">
        <v>2</v>
      </c>
      <c r="D158" s="384">
        <v>1</v>
      </c>
      <c r="E158" s="377">
        <v>23236.67</v>
      </c>
      <c r="F158" s="377">
        <v>23236.67</v>
      </c>
    </row>
    <row r="159" spans="2:6" s="345" customFormat="1">
      <c r="B159" s="385" t="s">
        <v>412</v>
      </c>
      <c r="C159" s="383" t="s">
        <v>2</v>
      </c>
      <c r="D159" s="384">
        <v>10</v>
      </c>
      <c r="E159" s="377">
        <v>7675</v>
      </c>
      <c r="F159" s="377">
        <v>76750</v>
      </c>
    </row>
    <row r="160" spans="2:6" s="345" customFormat="1">
      <c r="B160" s="385" t="s">
        <v>413</v>
      </c>
      <c r="C160" s="383" t="s">
        <v>2</v>
      </c>
      <c r="D160" s="384">
        <v>10</v>
      </c>
      <c r="E160" s="377">
        <v>2250</v>
      </c>
      <c r="F160" s="377">
        <v>22500</v>
      </c>
    </row>
    <row r="161" spans="1:8" s="345" customFormat="1">
      <c r="B161" s="385" t="s">
        <v>414</v>
      </c>
      <c r="C161" s="383" t="s">
        <v>2</v>
      </c>
      <c r="D161" s="384">
        <v>10</v>
      </c>
      <c r="E161" s="377">
        <v>1170</v>
      </c>
      <c r="F161" s="377">
        <v>11700</v>
      </c>
    </row>
    <row r="162" spans="1:8" s="345" customFormat="1">
      <c r="B162" s="385" t="s">
        <v>415</v>
      </c>
      <c r="C162" s="383" t="s">
        <v>2</v>
      </c>
      <c r="D162" s="384">
        <v>1</v>
      </c>
      <c r="E162" s="377">
        <v>1375</v>
      </c>
      <c r="F162" s="377">
        <v>1375</v>
      </c>
    </row>
    <row r="163" spans="1:8" s="345" customFormat="1">
      <c r="B163" s="385" t="s">
        <v>416</v>
      </c>
      <c r="C163" s="383" t="s">
        <v>2</v>
      </c>
      <c r="D163" s="384">
        <v>1</v>
      </c>
      <c r="E163" s="377">
        <v>2497</v>
      </c>
      <c r="F163" s="377">
        <v>2497</v>
      </c>
    </row>
    <row r="164" spans="1:8" s="345" customFormat="1">
      <c r="B164" s="385"/>
      <c r="C164" s="383"/>
      <c r="D164" s="384"/>
      <c r="E164" s="377"/>
      <c r="F164" s="390">
        <v>353564.87</v>
      </c>
    </row>
    <row r="165" spans="1:8" ht="12.75" customHeight="1">
      <c r="A165" s="18"/>
      <c r="B165" s="498" t="s">
        <v>3</v>
      </c>
      <c r="C165" s="501"/>
      <c r="D165" s="501"/>
      <c r="E165" s="502"/>
      <c r="F165" s="390">
        <f>SUM(F38:F164)/2</f>
        <v>441917.83</v>
      </c>
      <c r="G165" s="29"/>
      <c r="H165" s="278"/>
    </row>
    <row r="166" spans="1:8" ht="12.75" hidden="1" customHeight="1">
      <c r="A166" s="18"/>
      <c r="B166" s="34" t="str">
        <f>[2]Sheet1!E48</f>
        <v>ESTUDIO GEOLOGICO DEL AREA DEL PROYECTO</v>
      </c>
      <c r="C166" s="47"/>
      <c r="D166" s="47"/>
      <c r="E166" s="47"/>
      <c r="F166" s="47"/>
      <c r="G166" s="29"/>
      <c r="H166" s="278"/>
    </row>
    <row r="167" spans="1:8" ht="12.75" hidden="1" customHeight="1">
      <c r="A167" s="18"/>
      <c r="B167" s="32" t="str">
        <f>[2]Sheet1!E49</f>
        <v>IDENTIFICACION DE PARAMETROS GENERALES</v>
      </c>
      <c r="C167" s="47"/>
      <c r="D167" s="47"/>
      <c r="E167" s="47"/>
      <c r="F167" s="47"/>
      <c r="G167" s="29"/>
      <c r="H167" s="278"/>
    </row>
    <row r="168" spans="1:8" ht="13.5" hidden="1" customHeight="1">
      <c r="A168" s="33" t="s">
        <v>15</v>
      </c>
      <c r="B168" s="34" t="str">
        <f>[2]Sheet1!E50</f>
        <v>IDENTIFICACION DE MAPAS TEMATICAS  ( FACTORES CONDICIONANTES Y DESENCADENANTES)</v>
      </c>
      <c r="C168" s="148"/>
      <c r="D168" s="148"/>
      <c r="E168" s="148"/>
      <c r="F168" s="148"/>
      <c r="G168" s="28"/>
      <c r="H168" s="278"/>
    </row>
    <row r="169" spans="1:8" ht="13.5" hidden="1" customHeight="1">
      <c r="A169" s="18"/>
      <c r="B169" s="34">
        <f>[2]Sheet1!E51</f>
        <v>0</v>
      </c>
      <c r="C169" s="148"/>
      <c r="D169" s="148"/>
      <c r="E169" s="148"/>
      <c r="F169" s="148"/>
      <c r="G169" s="29"/>
      <c r="H169" s="278"/>
    </row>
    <row r="170" spans="1:8" ht="13.5" hidden="1" customHeight="1">
      <c r="B170" s="37" t="str">
        <f>[2]Sheet1!E52</f>
        <v>ANALISIS DE LA PELIGROSIDAD</v>
      </c>
      <c r="C170" s="37"/>
      <c r="D170" s="37"/>
      <c r="E170" s="37"/>
      <c r="F170" s="37"/>
      <c r="G170" s="29"/>
      <c r="H170" s="278"/>
    </row>
    <row r="171" spans="1:8" ht="13.5" hidden="1" customHeight="1">
      <c r="A171" s="31"/>
      <c r="B171" s="2" t="str">
        <f>[2]Sheet1!E53</f>
        <v>ANALISIS DE LA VULNERABILIDAD</v>
      </c>
      <c r="C171" s="4"/>
      <c r="D171" s="4"/>
      <c r="E171" s="4"/>
      <c r="F171" s="4"/>
      <c r="G171" s="29"/>
      <c r="H171" s="278"/>
    </row>
    <row r="172" spans="1:8" ht="13.5" hidden="1" customHeight="1">
      <c r="A172" s="31"/>
      <c r="B172" s="2" t="str">
        <f>[2]Sheet1!E54</f>
        <v>ANALISIS DE RIESGOS</v>
      </c>
      <c r="C172" s="4"/>
      <c r="D172" s="4"/>
      <c r="E172" s="4"/>
      <c r="F172" s="4"/>
      <c r="G172" s="29"/>
      <c r="H172" s="278"/>
    </row>
    <row r="173" spans="1:8" ht="13.5" hidden="1" customHeight="1">
      <c r="A173" s="31"/>
      <c r="B173" s="2" t="str">
        <f>[2]Sheet1!E55</f>
        <v>ESTUDIO DE INFILTRACION  Y PERMEABILIDAD DEL SUELO</v>
      </c>
      <c r="C173" s="4"/>
      <c r="D173" s="4"/>
      <c r="E173" s="4"/>
      <c r="F173" s="4"/>
      <c r="G173" s="29"/>
      <c r="H173" s="278"/>
    </row>
    <row r="174" spans="1:8" ht="13.5" hidden="1" customHeight="1">
      <c r="A174" s="31"/>
      <c r="B174" s="483" t="s">
        <v>3</v>
      </c>
      <c r="C174" s="484"/>
      <c r="D174" s="484"/>
      <c r="E174" s="485"/>
      <c r="F174" s="322">
        <f>SUM(F171:F173)</f>
        <v>0</v>
      </c>
      <c r="G174" s="29"/>
      <c r="H174" s="278"/>
    </row>
    <row r="175" spans="1:8" ht="13.5" hidden="1" customHeight="1">
      <c r="A175" s="31"/>
      <c r="B175" s="32"/>
      <c r="C175" s="47"/>
      <c r="D175" s="47"/>
      <c r="E175" s="47"/>
      <c r="F175" s="47"/>
      <c r="G175" s="29"/>
      <c r="H175" s="278"/>
    </row>
    <row r="176" spans="1:8" ht="13.5" hidden="1" customHeight="1">
      <c r="A176" s="31"/>
      <c r="B176" s="34" t="s">
        <v>17</v>
      </c>
      <c r="C176" s="47"/>
      <c r="D176" s="47"/>
      <c r="E176" s="47"/>
      <c r="F176" s="47"/>
      <c r="G176" s="29"/>
      <c r="H176" s="278"/>
    </row>
    <row r="177" spans="1:8" ht="13.5" hidden="1" customHeight="1">
      <c r="A177" s="18"/>
      <c r="B177" s="39"/>
      <c r="C177" s="47"/>
      <c r="D177" s="47"/>
      <c r="E177" s="47"/>
      <c r="F177" s="47"/>
      <c r="G177" s="29"/>
      <c r="H177" s="278"/>
    </row>
    <row r="178" spans="1:8" ht="13.5" hidden="1" customHeight="1">
      <c r="A178" s="38" t="s">
        <v>16</v>
      </c>
      <c r="B178" s="34" t="s">
        <v>42</v>
      </c>
      <c r="C178" s="148"/>
      <c r="D178" s="148"/>
      <c r="E178" s="148"/>
      <c r="F178" s="148"/>
      <c r="G178" s="29"/>
      <c r="H178" s="278"/>
    </row>
    <row r="179" spans="1:8" ht="13.5" hidden="1" customHeight="1">
      <c r="A179" s="18"/>
      <c r="B179" s="34"/>
      <c r="C179" s="148"/>
      <c r="D179" s="148"/>
      <c r="E179" s="148"/>
      <c r="F179" s="148"/>
      <c r="G179" s="29"/>
      <c r="H179" s="278"/>
    </row>
    <row r="180" spans="1:8" ht="13.5" hidden="1" customHeight="1">
      <c r="A180" s="31"/>
      <c r="B180" s="37" t="s">
        <v>43</v>
      </c>
      <c r="C180" s="37" t="s">
        <v>67</v>
      </c>
      <c r="D180" s="37" t="s">
        <v>5</v>
      </c>
      <c r="E180" s="37" t="s">
        <v>24</v>
      </c>
      <c r="F180" s="37" t="s">
        <v>4</v>
      </c>
      <c r="G180" s="29"/>
      <c r="H180" s="278"/>
    </row>
    <row r="181" spans="1:8" ht="13.5" hidden="1" customHeight="1">
      <c r="A181" s="31"/>
      <c r="B181" s="2" t="e">
        <f>#REF!</f>
        <v>#REF!</v>
      </c>
      <c r="C181" s="4" t="s">
        <v>68</v>
      </c>
      <c r="D181" s="4"/>
      <c r="E181" s="4" t="e">
        <f>+#REF!</f>
        <v>#REF!</v>
      </c>
      <c r="F181" s="4" t="e">
        <f>+D181*E181</f>
        <v>#REF!</v>
      </c>
      <c r="G181" s="29"/>
      <c r="H181" s="278"/>
    </row>
    <row r="182" spans="1:8" ht="13.5" hidden="1" customHeight="1">
      <c r="B182" s="2" t="e">
        <f>#REF!</f>
        <v>#REF!</v>
      </c>
      <c r="C182" s="4" t="s">
        <v>68</v>
      </c>
      <c r="D182" s="4"/>
      <c r="E182" s="4" t="e">
        <f>+#REF!</f>
        <v>#REF!</v>
      </c>
      <c r="F182" s="4" t="e">
        <f>+D182*E182</f>
        <v>#REF!</v>
      </c>
      <c r="G182" s="29"/>
      <c r="H182" s="278"/>
    </row>
    <row r="183" spans="1:8" ht="13.5" hidden="1" customHeight="1">
      <c r="A183" s="35"/>
      <c r="B183" s="2" t="e">
        <f>#REF!</f>
        <v>#REF!</v>
      </c>
      <c r="C183" s="4" t="s">
        <v>68</v>
      </c>
      <c r="D183" s="4"/>
      <c r="E183" s="4" t="e">
        <f>+#REF!</f>
        <v>#REF!</v>
      </c>
      <c r="F183" s="4" t="e">
        <f>+D183*E183</f>
        <v>#REF!</v>
      </c>
      <c r="G183" s="29"/>
      <c r="H183" s="278"/>
    </row>
    <row r="184" spans="1:8" ht="13.5" hidden="1" customHeight="1">
      <c r="A184" s="18"/>
      <c r="B184" s="483" t="s">
        <v>3</v>
      </c>
      <c r="C184" s="484"/>
      <c r="D184" s="484"/>
      <c r="E184" s="485"/>
      <c r="F184" s="322" t="e">
        <f>SUM(F181:F183)</f>
        <v>#REF!</v>
      </c>
      <c r="G184" s="29"/>
      <c r="H184" s="278"/>
    </row>
    <row r="185" spans="1:8" ht="13.5" hidden="1" customHeight="1">
      <c r="A185" s="18"/>
      <c r="B185" s="29"/>
      <c r="C185" s="47"/>
      <c r="D185" s="47"/>
      <c r="E185" s="47"/>
      <c r="F185" s="47"/>
      <c r="G185" s="29"/>
      <c r="H185" s="278"/>
    </row>
    <row r="186" spans="1:8" ht="13.5" hidden="1" customHeight="1">
      <c r="A186" s="18"/>
      <c r="B186" s="34"/>
      <c r="C186" s="47"/>
      <c r="D186" s="47"/>
      <c r="E186" s="47"/>
      <c r="F186" s="47"/>
      <c r="G186" s="29"/>
      <c r="H186" s="278"/>
    </row>
    <row r="187" spans="1:8" ht="13.5" hidden="1" customHeight="1">
      <c r="A187" s="20"/>
      <c r="B187" s="39"/>
      <c r="C187" s="47"/>
      <c r="D187" s="47"/>
      <c r="E187" s="47"/>
      <c r="F187" s="47"/>
      <c r="G187" s="29"/>
      <c r="H187" s="278"/>
    </row>
    <row r="188" spans="1:8" ht="13.5" hidden="1" customHeight="1">
      <c r="A188" s="20"/>
      <c r="B188" s="34" t="s">
        <v>19</v>
      </c>
      <c r="C188" s="47"/>
      <c r="E188" s="348"/>
      <c r="F188" s="348" t="s">
        <v>0</v>
      </c>
      <c r="G188" s="29"/>
      <c r="H188" s="278"/>
    </row>
    <row r="189" spans="1:8" ht="12.75" hidden="1" customHeight="1">
      <c r="A189" s="20"/>
      <c r="B189" s="166"/>
      <c r="C189" s="167"/>
      <c r="D189" s="167" t="s">
        <v>1</v>
      </c>
      <c r="E189" s="167"/>
      <c r="F189" s="167"/>
      <c r="G189" s="168"/>
      <c r="H189" s="278"/>
    </row>
    <row r="190" spans="1:8" ht="13.5" hidden="1" customHeight="1">
      <c r="A190" s="33" t="s">
        <v>18</v>
      </c>
      <c r="B190" s="34" t="s">
        <v>46</v>
      </c>
      <c r="C190" s="47"/>
      <c r="D190" s="47"/>
      <c r="E190" s="47"/>
      <c r="F190" s="47"/>
      <c r="G190" s="32" t="e">
        <f>+F198+F209</f>
        <v>#REF!</v>
      </c>
      <c r="H190" s="278"/>
    </row>
    <row r="191" spans="1:8" ht="13.5" hidden="1" customHeight="1">
      <c r="A191" s="31"/>
      <c r="B191" s="34"/>
      <c r="C191" s="47"/>
      <c r="D191" s="47"/>
      <c r="E191" s="47"/>
      <c r="F191" s="47"/>
      <c r="G191" s="29"/>
      <c r="H191" s="278"/>
    </row>
    <row r="192" spans="1:8" ht="13.5" hidden="1" customHeight="1">
      <c r="A192" s="33" t="s">
        <v>12</v>
      </c>
      <c r="B192" s="34" t="s">
        <v>42</v>
      </c>
      <c r="C192" s="148"/>
      <c r="D192" s="148"/>
      <c r="E192" s="148"/>
      <c r="F192" s="47"/>
      <c r="G192" s="29"/>
      <c r="H192" s="278"/>
    </row>
    <row r="193" spans="1:8" ht="13.5" hidden="1" customHeight="1">
      <c r="A193" s="18"/>
      <c r="B193" s="34"/>
      <c r="C193" s="148"/>
      <c r="D193" s="148"/>
      <c r="E193" s="148"/>
      <c r="F193" s="47"/>
      <c r="G193" s="29"/>
      <c r="H193" s="278"/>
    </row>
    <row r="194" spans="1:8" ht="13.5" hidden="1" customHeight="1">
      <c r="A194" s="38"/>
      <c r="B194" s="37" t="s">
        <v>43</v>
      </c>
      <c r="C194" s="37" t="s">
        <v>67</v>
      </c>
      <c r="D194" s="37" t="s">
        <v>5</v>
      </c>
      <c r="E194" s="37" t="s">
        <v>24</v>
      </c>
      <c r="F194" s="37" t="s">
        <v>4</v>
      </c>
      <c r="G194" s="29"/>
      <c r="H194" s="278"/>
    </row>
    <row r="195" spans="1:8" ht="13.5" hidden="1" customHeight="1">
      <c r="A195" s="35"/>
      <c r="B195" s="2" t="e">
        <f>#REF!</f>
        <v>#REF!</v>
      </c>
      <c r="C195" s="4" t="s">
        <v>68</v>
      </c>
      <c r="D195" s="4"/>
      <c r="E195" s="4" t="e">
        <f>+#REF!</f>
        <v>#REF!</v>
      </c>
      <c r="F195" s="4" t="e">
        <f>+D195*E195</f>
        <v>#REF!</v>
      </c>
      <c r="G195" s="29"/>
      <c r="H195" s="278"/>
    </row>
    <row r="196" spans="1:8" ht="12.75" hidden="1" customHeight="1">
      <c r="B196" s="2" t="e">
        <f>#REF!</f>
        <v>#REF!</v>
      </c>
      <c r="C196" s="4" t="s">
        <v>68</v>
      </c>
      <c r="D196" s="4"/>
      <c r="E196" s="4" t="e">
        <f>+#REF!</f>
        <v>#REF!</v>
      </c>
      <c r="F196" s="4" t="e">
        <f>+D196*E196</f>
        <v>#REF!</v>
      </c>
      <c r="H196" s="278"/>
    </row>
    <row r="197" spans="1:8" ht="13.5" hidden="1" customHeight="1">
      <c r="B197" s="2" t="e">
        <f>#REF!</f>
        <v>#REF!</v>
      </c>
      <c r="C197" s="4" t="s">
        <v>68</v>
      </c>
      <c r="D197" s="4"/>
      <c r="E197" s="4" t="e">
        <f>+#REF!</f>
        <v>#REF!</v>
      </c>
      <c r="F197" s="4" t="e">
        <f>+D197*E197</f>
        <v>#REF!</v>
      </c>
      <c r="G197" s="29"/>
      <c r="H197" s="278"/>
    </row>
    <row r="198" spans="1:8" ht="13.5" hidden="1" customHeight="1">
      <c r="B198" s="483" t="s">
        <v>3</v>
      </c>
      <c r="C198" s="484"/>
      <c r="D198" s="484"/>
      <c r="E198" s="485"/>
      <c r="F198" s="322" t="e">
        <f>SUM(F195:F197)</f>
        <v>#REF!</v>
      </c>
      <c r="G198" s="29"/>
      <c r="H198" s="278"/>
    </row>
    <row r="199" spans="1:8" ht="13.5" hidden="1" customHeight="1">
      <c r="A199" s="33"/>
      <c r="B199" s="47"/>
      <c r="C199" s="47"/>
      <c r="D199" s="47"/>
      <c r="E199" s="47"/>
      <c r="F199" s="47"/>
      <c r="G199" s="29"/>
      <c r="H199" s="278"/>
    </row>
    <row r="200" spans="1:8" ht="13.5" hidden="1" customHeight="1">
      <c r="A200" s="35"/>
      <c r="B200" s="47"/>
      <c r="C200" s="47"/>
      <c r="D200" s="47"/>
      <c r="E200" s="47"/>
      <c r="F200" s="47"/>
      <c r="G200" s="29"/>
      <c r="H200" s="278"/>
    </row>
    <row r="201" spans="1:8" ht="13.5" hidden="1" customHeight="1">
      <c r="A201" s="35"/>
      <c r="B201" s="34" t="s">
        <v>79</v>
      </c>
      <c r="C201" s="47"/>
      <c r="D201" s="47"/>
      <c r="E201" s="47"/>
      <c r="F201" s="47"/>
      <c r="G201" s="29"/>
      <c r="H201" s="278"/>
    </row>
    <row r="202" spans="1:8" ht="13.5" hidden="1" customHeight="1">
      <c r="A202" s="18"/>
      <c r="B202" s="34"/>
      <c r="C202" s="47"/>
      <c r="D202" s="47"/>
      <c r="E202" s="47"/>
      <c r="F202" s="47"/>
      <c r="G202" s="29"/>
      <c r="H202" s="278"/>
    </row>
    <row r="203" spans="1:8" ht="13.5" hidden="1" customHeight="1">
      <c r="A203" s="38" t="s">
        <v>16</v>
      </c>
      <c r="B203" s="34" t="s">
        <v>42</v>
      </c>
      <c r="C203" s="148"/>
      <c r="D203" s="148"/>
      <c r="E203" s="148"/>
      <c r="F203" s="47"/>
      <c r="G203" s="29"/>
      <c r="H203" s="278"/>
    </row>
    <row r="204" spans="1:8" ht="13.5" hidden="1" customHeight="1">
      <c r="A204" s="18"/>
      <c r="B204" s="34"/>
      <c r="C204" s="148"/>
      <c r="D204" s="148"/>
      <c r="E204" s="148"/>
      <c r="F204" s="47"/>
      <c r="G204" s="29"/>
      <c r="H204" s="278"/>
    </row>
    <row r="205" spans="1:8" ht="13.5" hidden="1" customHeight="1">
      <c r="A205" s="18"/>
      <c r="B205" s="37" t="s">
        <v>43</v>
      </c>
      <c r="C205" s="37" t="s">
        <v>67</v>
      </c>
      <c r="D205" s="37" t="s">
        <v>5</v>
      </c>
      <c r="E205" s="37" t="s">
        <v>24</v>
      </c>
      <c r="F205" s="37" t="s">
        <v>4</v>
      </c>
      <c r="G205" s="29"/>
      <c r="H205" s="278"/>
    </row>
    <row r="206" spans="1:8" ht="13.5" hidden="1" customHeight="1">
      <c r="A206" s="18"/>
      <c r="B206" s="2" t="e">
        <f>#REF!</f>
        <v>#REF!</v>
      </c>
      <c r="C206" s="4" t="s">
        <v>68</v>
      </c>
      <c r="D206" s="4"/>
      <c r="E206" s="4" t="e">
        <f>+#REF!</f>
        <v>#REF!</v>
      </c>
      <c r="F206" s="4" t="e">
        <f>+D206*E206</f>
        <v>#REF!</v>
      </c>
      <c r="G206" s="29"/>
      <c r="H206" s="278"/>
    </row>
    <row r="207" spans="1:8" ht="13.5" hidden="1" customHeight="1">
      <c r="A207" s="18"/>
      <c r="B207" s="2" t="e">
        <f>#REF!</f>
        <v>#REF!</v>
      </c>
      <c r="C207" s="4" t="s">
        <v>68</v>
      </c>
      <c r="D207" s="4"/>
      <c r="E207" s="4" t="e">
        <f>+#REF!</f>
        <v>#REF!</v>
      </c>
      <c r="F207" s="4" t="e">
        <f>+D207*E207</f>
        <v>#REF!</v>
      </c>
      <c r="G207" s="29"/>
      <c r="H207" s="278"/>
    </row>
    <row r="208" spans="1:8" ht="13.5" hidden="1" customHeight="1">
      <c r="A208" s="18"/>
      <c r="B208" s="2" t="e">
        <f>#REF!</f>
        <v>#REF!</v>
      </c>
      <c r="C208" s="4" t="s">
        <v>68</v>
      </c>
      <c r="D208" s="4"/>
      <c r="E208" s="4" t="e">
        <f>+#REF!</f>
        <v>#REF!</v>
      </c>
      <c r="F208" s="4" t="e">
        <f>+D208*E208</f>
        <v>#REF!</v>
      </c>
      <c r="G208" s="29"/>
      <c r="H208" s="278"/>
    </row>
    <row r="209" spans="1:8" ht="13.5" hidden="1" customHeight="1">
      <c r="A209" s="18"/>
      <c r="B209" s="483" t="s">
        <v>3</v>
      </c>
      <c r="C209" s="484"/>
      <c r="D209" s="484"/>
      <c r="E209" s="485"/>
      <c r="F209" s="322" t="e">
        <f>SUM(F206:F208)</f>
        <v>#REF!</v>
      </c>
      <c r="G209" s="29"/>
      <c r="H209" s="278"/>
    </row>
    <row r="210" spans="1:8" ht="13.5" hidden="1" customHeight="1">
      <c r="A210" s="18"/>
      <c r="B210" s="47"/>
      <c r="C210" s="47"/>
      <c r="D210" s="47"/>
      <c r="E210" s="47"/>
      <c r="F210" s="47"/>
      <c r="G210" s="29"/>
      <c r="H210" s="278"/>
    </row>
    <row r="211" spans="1:8" ht="13.5" hidden="1" customHeight="1">
      <c r="B211" s="34" t="s">
        <v>21</v>
      </c>
      <c r="C211" s="47"/>
      <c r="D211" s="148"/>
      <c r="E211" s="348"/>
      <c r="F211" s="348" t="s">
        <v>0</v>
      </c>
      <c r="G211" s="29"/>
      <c r="H211" s="278"/>
    </row>
    <row r="212" spans="1:8" ht="13.5" hidden="1" customHeight="1">
      <c r="A212" s="33"/>
      <c r="B212" s="34"/>
      <c r="C212" s="47"/>
      <c r="D212" s="47"/>
      <c r="E212" s="47"/>
      <c r="F212" s="47"/>
      <c r="G212" s="29"/>
      <c r="H212" s="278"/>
    </row>
    <row r="213" spans="1:8" ht="13.5" hidden="1" customHeight="1">
      <c r="A213" s="33" t="s">
        <v>20</v>
      </c>
      <c r="B213" s="34" t="s">
        <v>48</v>
      </c>
      <c r="C213" s="47"/>
      <c r="D213" s="47"/>
      <c r="E213" s="47"/>
      <c r="F213" s="47"/>
      <c r="G213" s="32" t="e">
        <f>+F221</f>
        <v>#REF!</v>
      </c>
      <c r="H213" s="278"/>
    </row>
    <row r="214" spans="1:8" ht="13.5" hidden="1" customHeight="1">
      <c r="A214" s="33"/>
      <c r="B214" s="39"/>
      <c r="C214" s="47"/>
      <c r="D214" s="47"/>
      <c r="E214" s="47"/>
      <c r="F214" s="47"/>
      <c r="G214" s="29"/>
      <c r="H214" s="278"/>
    </row>
    <row r="215" spans="1:8" ht="13.5" hidden="1" customHeight="1">
      <c r="A215" s="38" t="s">
        <v>12</v>
      </c>
      <c r="B215" s="34" t="s">
        <v>42</v>
      </c>
      <c r="C215" s="148"/>
      <c r="D215" s="148"/>
      <c r="E215" s="148"/>
      <c r="F215" s="148"/>
      <c r="G215" s="29"/>
      <c r="H215" s="278"/>
    </row>
    <row r="216" spans="1:8" ht="13.5" hidden="1" customHeight="1">
      <c r="A216" s="18"/>
      <c r="B216" s="34"/>
      <c r="C216" s="148"/>
      <c r="D216" s="148"/>
      <c r="E216" s="148"/>
      <c r="F216" s="148"/>
      <c r="G216" s="29"/>
      <c r="H216" s="278"/>
    </row>
    <row r="217" spans="1:8" ht="13.5" hidden="1" customHeight="1">
      <c r="A217" s="18"/>
      <c r="B217" s="37" t="s">
        <v>43</v>
      </c>
      <c r="C217" s="37" t="s">
        <v>67</v>
      </c>
      <c r="D217" s="37" t="s">
        <v>5</v>
      </c>
      <c r="E217" s="37" t="s">
        <v>24</v>
      </c>
      <c r="F217" s="37" t="s">
        <v>4</v>
      </c>
      <c r="G217" s="29"/>
      <c r="H217" s="278"/>
    </row>
    <row r="218" spans="1:8" ht="13.5" hidden="1" customHeight="1">
      <c r="A218" s="18"/>
      <c r="B218" s="2" t="e">
        <f>#REF!</f>
        <v>#REF!</v>
      </c>
      <c r="C218" s="4" t="s">
        <v>68</v>
      </c>
      <c r="D218" s="4"/>
      <c r="E218" s="4" t="e">
        <f>+#REF!</f>
        <v>#REF!</v>
      </c>
      <c r="F218" s="4" t="e">
        <f>+D218*E218</f>
        <v>#REF!</v>
      </c>
      <c r="G218" s="29"/>
      <c r="H218" s="278"/>
    </row>
    <row r="219" spans="1:8" ht="13.5" hidden="1" customHeight="1">
      <c r="A219" s="18"/>
      <c r="B219" s="2" t="e">
        <f>#REF!</f>
        <v>#REF!</v>
      </c>
      <c r="C219" s="4" t="s">
        <v>68</v>
      </c>
      <c r="D219" s="4"/>
      <c r="E219" s="4" t="e">
        <f>+#REF!</f>
        <v>#REF!</v>
      </c>
      <c r="F219" s="4" t="e">
        <f>+D219*E219</f>
        <v>#REF!</v>
      </c>
      <c r="G219" s="29"/>
      <c r="H219" s="278"/>
    </row>
    <row r="220" spans="1:8" ht="13.5" hidden="1" customHeight="1">
      <c r="A220" s="18"/>
      <c r="B220" s="2" t="e">
        <f>#REF!</f>
        <v>#REF!</v>
      </c>
      <c r="C220" s="4" t="s">
        <v>68</v>
      </c>
      <c r="D220" s="4"/>
      <c r="E220" s="4" t="e">
        <f>+#REF!</f>
        <v>#REF!</v>
      </c>
      <c r="F220" s="4" t="e">
        <f>+D220*E220</f>
        <v>#REF!</v>
      </c>
      <c r="G220" s="29"/>
      <c r="H220" s="278"/>
    </row>
    <row r="221" spans="1:8" ht="13.5" hidden="1" customHeight="1">
      <c r="A221" s="18"/>
      <c r="B221" s="483" t="s">
        <v>3</v>
      </c>
      <c r="C221" s="484"/>
      <c r="D221" s="484"/>
      <c r="E221" s="485"/>
      <c r="F221" s="322" t="e">
        <f>SUM(F218:F220)</f>
        <v>#REF!</v>
      </c>
      <c r="G221" s="29"/>
      <c r="H221" s="278"/>
    </row>
    <row r="222" spans="1:8" ht="13.5" hidden="1" customHeight="1">
      <c r="A222" s="18"/>
      <c r="B222" s="34"/>
      <c r="C222" s="47"/>
      <c r="D222" s="47"/>
      <c r="E222" s="47"/>
      <c r="F222" s="47"/>
      <c r="G222" s="29"/>
      <c r="H222" s="278"/>
    </row>
    <row r="223" spans="1:8" ht="12.75" hidden="1" customHeight="1">
      <c r="B223" s="34" t="s">
        <v>103</v>
      </c>
      <c r="C223" s="47"/>
      <c r="D223" s="148"/>
      <c r="E223" s="348"/>
      <c r="F223" s="348" t="s">
        <v>0</v>
      </c>
      <c r="G223" s="29"/>
      <c r="H223" s="278"/>
    </row>
    <row r="224" spans="1:8" ht="13.5" hidden="1" customHeight="1">
      <c r="B224" s="34"/>
      <c r="C224" s="47"/>
      <c r="D224" s="47"/>
      <c r="E224" s="47"/>
      <c r="F224" s="47"/>
      <c r="G224" s="29"/>
      <c r="H224" s="278"/>
    </row>
    <row r="225" spans="1:8" ht="13.5" hidden="1" customHeight="1">
      <c r="A225" s="33" t="s">
        <v>102</v>
      </c>
      <c r="B225" s="34" t="s">
        <v>49</v>
      </c>
      <c r="C225" s="148"/>
      <c r="D225" s="148"/>
      <c r="E225" s="148"/>
      <c r="F225" s="148"/>
      <c r="G225" s="32" t="e">
        <f>+F233+F243+F253</f>
        <v>#REF!</v>
      </c>
      <c r="H225" s="278"/>
    </row>
    <row r="226" spans="1:8" ht="13.5" hidden="1" customHeight="1">
      <c r="A226" s="33"/>
      <c r="B226" s="34"/>
      <c r="C226" s="148"/>
      <c r="D226" s="148"/>
      <c r="E226" s="148"/>
      <c r="F226" s="148"/>
      <c r="G226" s="29"/>
      <c r="H226" s="278"/>
    </row>
    <row r="227" spans="1:8" ht="13.5" hidden="1" customHeight="1">
      <c r="A227" s="38" t="s">
        <v>12</v>
      </c>
      <c r="B227" s="34" t="s">
        <v>42</v>
      </c>
      <c r="C227" s="148"/>
      <c r="D227" s="148"/>
      <c r="E227" s="148"/>
      <c r="F227" s="148"/>
      <c r="G227" s="29"/>
      <c r="H227" s="278"/>
    </row>
    <row r="228" spans="1:8" ht="13.5" hidden="1" customHeight="1">
      <c r="A228" s="18"/>
      <c r="B228" s="34"/>
      <c r="C228" s="148"/>
      <c r="D228" s="148"/>
      <c r="E228" s="148"/>
      <c r="F228" s="148"/>
      <c r="G228" s="29"/>
      <c r="H228" s="278"/>
    </row>
    <row r="229" spans="1:8" ht="13.5" hidden="1" customHeight="1">
      <c r="A229" s="20"/>
      <c r="B229" s="37" t="s">
        <v>43</v>
      </c>
      <c r="C229" s="37" t="s">
        <v>67</v>
      </c>
      <c r="D229" s="37" t="s">
        <v>5</v>
      </c>
      <c r="E229" s="37" t="s">
        <v>24</v>
      </c>
      <c r="F229" s="37" t="s">
        <v>4</v>
      </c>
      <c r="G229" s="29"/>
      <c r="H229" s="278"/>
    </row>
    <row r="230" spans="1:8" ht="13.5" hidden="1" customHeight="1">
      <c r="A230" s="20"/>
      <c r="B230" s="2" t="e">
        <f>#REF!</f>
        <v>#REF!</v>
      </c>
      <c r="C230" s="4" t="s">
        <v>68</v>
      </c>
      <c r="D230" s="4"/>
      <c r="E230" s="4" t="e">
        <f>+#REF!</f>
        <v>#REF!</v>
      </c>
      <c r="F230" s="4" t="e">
        <f>+D230*E230</f>
        <v>#REF!</v>
      </c>
      <c r="G230" s="29"/>
      <c r="H230" s="279"/>
    </row>
    <row r="231" spans="1:8" ht="13.5" hidden="1" customHeight="1">
      <c r="A231" s="20"/>
      <c r="B231" s="2" t="e">
        <f>#REF!</f>
        <v>#REF!</v>
      </c>
      <c r="C231" s="4" t="s">
        <v>68</v>
      </c>
      <c r="D231" s="4"/>
      <c r="E231" s="4" t="e">
        <f>+#REF!</f>
        <v>#REF!</v>
      </c>
      <c r="F231" s="4" t="e">
        <f>+D231*E231</f>
        <v>#REF!</v>
      </c>
      <c r="G231" s="29"/>
      <c r="H231" s="279"/>
    </row>
    <row r="232" spans="1:8" ht="13.5" hidden="1" customHeight="1">
      <c r="A232" s="18"/>
      <c r="B232" s="2" t="e">
        <f>#REF!</f>
        <v>#REF!</v>
      </c>
      <c r="C232" s="4" t="s">
        <v>68</v>
      </c>
      <c r="D232" s="4"/>
      <c r="E232" s="4" t="e">
        <f>+#REF!</f>
        <v>#REF!</v>
      </c>
      <c r="F232" s="4" t="e">
        <f>+D232*E232</f>
        <v>#REF!</v>
      </c>
      <c r="G232" s="29"/>
      <c r="H232" s="279"/>
    </row>
    <row r="233" spans="1:8" ht="13.5" hidden="1" customHeight="1">
      <c r="A233" s="18"/>
      <c r="B233" s="483" t="s">
        <v>3</v>
      </c>
      <c r="C233" s="484"/>
      <c r="D233" s="484"/>
      <c r="E233" s="485"/>
      <c r="F233" s="322" t="e">
        <f>SUM(F230:F232)</f>
        <v>#REF!</v>
      </c>
      <c r="G233" s="29"/>
      <c r="H233" s="278"/>
    </row>
    <row r="234" spans="1:8" ht="13.5" hidden="1" customHeight="1">
      <c r="A234" s="18"/>
      <c r="B234" s="29"/>
      <c r="C234" s="47"/>
      <c r="D234" s="47"/>
      <c r="E234" s="47"/>
      <c r="F234" s="47"/>
      <c r="G234" s="29"/>
      <c r="H234" s="278"/>
    </row>
    <row r="235" spans="1:8" ht="13.5" hidden="1" customHeight="1">
      <c r="B235" s="34" t="s">
        <v>50</v>
      </c>
      <c r="C235" s="47"/>
      <c r="D235" s="47"/>
      <c r="E235" s="47"/>
      <c r="F235" s="47"/>
      <c r="H235" s="278"/>
    </row>
    <row r="236" spans="1:8" ht="13.5" hidden="1" customHeight="1">
      <c r="B236" s="34"/>
      <c r="C236" s="47"/>
      <c r="D236" s="47"/>
      <c r="E236" s="47"/>
      <c r="F236" s="47"/>
      <c r="G236" s="29"/>
      <c r="H236" s="278"/>
    </row>
    <row r="237" spans="1:8" ht="13.5" hidden="1" customHeight="1">
      <c r="A237" s="38" t="s">
        <v>15</v>
      </c>
      <c r="B237" s="34" t="s">
        <v>42</v>
      </c>
      <c r="C237" s="148"/>
      <c r="D237" s="148"/>
      <c r="E237" s="148"/>
      <c r="F237" s="148"/>
      <c r="G237" s="29"/>
      <c r="H237" s="278"/>
    </row>
    <row r="238" spans="1:8" ht="13.5" hidden="1" customHeight="1">
      <c r="A238" s="38"/>
      <c r="B238" s="34"/>
      <c r="C238" s="148"/>
      <c r="D238" s="148"/>
      <c r="E238" s="148"/>
      <c r="F238" s="148"/>
      <c r="G238" s="29"/>
      <c r="H238" s="278"/>
    </row>
    <row r="239" spans="1:8" ht="13.5" hidden="1" customHeight="1">
      <c r="A239" s="38"/>
      <c r="B239" s="37" t="s">
        <v>43</v>
      </c>
      <c r="C239" s="37" t="s">
        <v>67</v>
      </c>
      <c r="D239" s="37" t="s">
        <v>5</v>
      </c>
      <c r="E239" s="37" t="s">
        <v>24</v>
      </c>
      <c r="F239" s="37" t="s">
        <v>4</v>
      </c>
      <c r="G239" s="29"/>
      <c r="H239" s="278"/>
    </row>
    <row r="240" spans="1:8" ht="13.5" hidden="1" customHeight="1">
      <c r="A240" s="18"/>
      <c r="B240" s="2" t="e">
        <f>#REF!</f>
        <v>#REF!</v>
      </c>
      <c r="C240" s="4" t="s">
        <v>68</v>
      </c>
      <c r="D240" s="4"/>
      <c r="E240" s="4" t="e">
        <f>+#REF!</f>
        <v>#REF!</v>
      </c>
      <c r="F240" s="4" t="e">
        <f>+D240*E240</f>
        <v>#REF!</v>
      </c>
      <c r="G240" s="29"/>
      <c r="H240" s="278"/>
    </row>
    <row r="241" spans="1:8" ht="13.5" hidden="1" customHeight="1">
      <c r="A241" s="18"/>
      <c r="B241" s="2" t="e">
        <f>#REF!</f>
        <v>#REF!</v>
      </c>
      <c r="C241" s="4" t="s">
        <v>68</v>
      </c>
      <c r="D241" s="4"/>
      <c r="E241" s="4" t="e">
        <f>+#REF!</f>
        <v>#REF!</v>
      </c>
      <c r="F241" s="4" t="e">
        <f>+D241*E241</f>
        <v>#REF!</v>
      </c>
      <c r="G241" s="29"/>
      <c r="H241" s="278"/>
    </row>
    <row r="242" spans="1:8" ht="13.5" hidden="1" customHeight="1">
      <c r="A242" s="18"/>
      <c r="B242" s="2" t="e">
        <f>#REF!</f>
        <v>#REF!</v>
      </c>
      <c r="C242" s="4" t="s">
        <v>68</v>
      </c>
      <c r="D242" s="4"/>
      <c r="E242" s="4" t="e">
        <f>+#REF!</f>
        <v>#REF!</v>
      </c>
      <c r="F242" s="4" t="e">
        <f>+D242*E242</f>
        <v>#REF!</v>
      </c>
      <c r="G242" s="29"/>
      <c r="H242" s="278"/>
    </row>
    <row r="243" spans="1:8" ht="13.5" hidden="1" customHeight="1">
      <c r="A243" s="18"/>
      <c r="B243" s="483" t="s">
        <v>3</v>
      </c>
      <c r="C243" s="484"/>
      <c r="D243" s="484"/>
      <c r="E243" s="485"/>
      <c r="F243" s="322" t="e">
        <f>SUM(F240:F242)</f>
        <v>#REF!</v>
      </c>
      <c r="G243" s="29"/>
      <c r="H243" s="278"/>
    </row>
    <row r="244" spans="1:8" ht="13.5" hidden="1" customHeight="1">
      <c r="A244" s="18"/>
      <c r="B244" s="148"/>
      <c r="C244" s="47"/>
      <c r="D244" s="47"/>
      <c r="E244" s="47"/>
      <c r="F244" s="47"/>
      <c r="G244" s="29"/>
      <c r="H244" s="278"/>
    </row>
    <row r="245" spans="1:8" ht="13.5" hidden="1" customHeight="1">
      <c r="A245" s="18"/>
      <c r="B245" s="34" t="s">
        <v>112</v>
      </c>
      <c r="C245" s="47"/>
      <c r="D245" s="47"/>
      <c r="E245" s="47"/>
      <c r="F245" s="47"/>
      <c r="G245" s="29"/>
      <c r="H245" s="278"/>
    </row>
    <row r="246" spans="1:8" ht="13.5" hidden="1" customHeight="1">
      <c r="A246" s="20"/>
      <c r="B246" s="34"/>
      <c r="C246" s="47"/>
      <c r="D246" s="47"/>
      <c r="E246" s="47"/>
      <c r="F246" s="47"/>
      <c r="G246" s="29"/>
      <c r="H246" s="278"/>
    </row>
    <row r="247" spans="1:8" ht="13.5" hidden="1" customHeight="1">
      <c r="A247" s="38" t="s">
        <v>16</v>
      </c>
      <c r="B247" s="34" t="s">
        <v>42</v>
      </c>
      <c r="C247" s="148"/>
      <c r="D247" s="148"/>
      <c r="E247" s="148"/>
      <c r="F247" s="148"/>
      <c r="G247" s="29"/>
      <c r="H247" s="278"/>
    </row>
    <row r="248" spans="1:8" ht="13.5" hidden="1" customHeight="1">
      <c r="B248" s="34"/>
      <c r="C248" s="148"/>
      <c r="D248" s="148"/>
      <c r="E248" s="148"/>
      <c r="F248" s="148"/>
      <c r="G248" s="29"/>
      <c r="H248" s="278"/>
    </row>
    <row r="249" spans="1:8" ht="13.5" hidden="1" customHeight="1">
      <c r="A249" s="33"/>
      <c r="B249" s="37" t="s">
        <v>43</v>
      </c>
      <c r="C249" s="37" t="s">
        <v>67</v>
      </c>
      <c r="D249" s="37" t="s">
        <v>5</v>
      </c>
      <c r="E249" s="37" t="s">
        <v>24</v>
      </c>
      <c r="F249" s="37" t="s">
        <v>4</v>
      </c>
      <c r="G249" s="29"/>
      <c r="H249" s="278"/>
    </row>
    <row r="250" spans="1:8" ht="13.5" hidden="1" customHeight="1">
      <c r="A250" s="35"/>
      <c r="B250" s="2" t="e">
        <f>#REF!</f>
        <v>#REF!</v>
      </c>
      <c r="C250" s="4" t="s">
        <v>68</v>
      </c>
      <c r="D250" s="4"/>
      <c r="E250" s="4" t="e">
        <f>+#REF!</f>
        <v>#REF!</v>
      </c>
      <c r="F250" s="4" t="e">
        <f>+D250*E250</f>
        <v>#REF!</v>
      </c>
      <c r="G250" s="29"/>
      <c r="H250" s="278"/>
    </row>
    <row r="251" spans="1:8" ht="13.5" hidden="1" customHeight="1">
      <c r="A251" s="35"/>
      <c r="B251" s="2" t="e">
        <f>#REF!</f>
        <v>#REF!</v>
      </c>
      <c r="C251" s="4" t="s">
        <v>68</v>
      </c>
      <c r="D251" s="4"/>
      <c r="E251" s="4" t="e">
        <f>+#REF!</f>
        <v>#REF!</v>
      </c>
      <c r="F251" s="4" t="e">
        <f>+D251*E251</f>
        <v>#REF!</v>
      </c>
      <c r="G251" s="29"/>
      <c r="H251" s="278"/>
    </row>
    <row r="252" spans="1:8" ht="13.5" hidden="1" customHeight="1">
      <c r="A252" s="18"/>
      <c r="B252" s="2" t="e">
        <f>#REF!</f>
        <v>#REF!</v>
      </c>
      <c r="C252" s="4" t="s">
        <v>68</v>
      </c>
      <c r="D252" s="4"/>
      <c r="E252" s="4" t="e">
        <f>+#REF!</f>
        <v>#REF!</v>
      </c>
      <c r="F252" s="4" t="e">
        <f>+D252*E252</f>
        <v>#REF!</v>
      </c>
      <c r="G252" s="29"/>
      <c r="H252" s="278"/>
    </row>
    <row r="253" spans="1:8" ht="13.5" hidden="1" customHeight="1">
      <c r="A253" s="18"/>
      <c r="B253" s="483" t="s">
        <v>3</v>
      </c>
      <c r="C253" s="484"/>
      <c r="D253" s="484"/>
      <c r="E253" s="485"/>
      <c r="F253" s="322" t="e">
        <f>SUM(F250:F252)</f>
        <v>#REF!</v>
      </c>
      <c r="G253" s="29"/>
      <c r="H253" s="278"/>
    </row>
    <row r="254" spans="1:8" ht="13.5" hidden="1" customHeight="1">
      <c r="A254" s="18"/>
      <c r="B254" s="29"/>
      <c r="C254" s="47"/>
      <c r="D254" s="47"/>
      <c r="E254" s="47"/>
      <c r="F254" s="47"/>
      <c r="G254" s="29"/>
      <c r="H254" s="278"/>
    </row>
    <row r="255" spans="1:8" ht="13.5" hidden="1" customHeight="1">
      <c r="A255" s="18"/>
      <c r="B255" s="40" t="s">
        <v>38</v>
      </c>
      <c r="C255" s="41"/>
      <c r="D255" s="41"/>
      <c r="E255" s="323"/>
      <c r="F255" s="348" t="s">
        <v>0</v>
      </c>
      <c r="G255" s="29"/>
      <c r="H255" s="278"/>
    </row>
    <row r="256" spans="1:8" ht="13.5" hidden="1" customHeight="1">
      <c r="A256" s="18"/>
      <c r="B256" s="40"/>
      <c r="C256" s="41"/>
      <c r="D256" s="41"/>
      <c r="E256" s="41"/>
      <c r="F256" s="323"/>
      <c r="G256" s="29"/>
      <c r="H256" s="278"/>
    </row>
    <row r="257" spans="1:8" ht="13.5" hidden="1" customHeight="1">
      <c r="A257" s="42" t="s">
        <v>37</v>
      </c>
      <c r="B257" s="37" t="s">
        <v>23</v>
      </c>
      <c r="C257" s="37" t="s">
        <v>2</v>
      </c>
      <c r="D257" s="37" t="s">
        <v>24</v>
      </c>
      <c r="E257" s="37" t="s">
        <v>5</v>
      </c>
      <c r="F257" s="37" t="s">
        <v>3</v>
      </c>
      <c r="G257" s="32">
        <f>+F262</f>
        <v>0</v>
      </c>
      <c r="H257" s="278"/>
    </row>
    <row r="258" spans="1:8" ht="13.5" hidden="1" customHeight="1">
      <c r="A258" s="18"/>
      <c r="B258" s="244" t="s">
        <v>80</v>
      </c>
      <c r="C258" s="4" t="s">
        <v>2</v>
      </c>
      <c r="D258" s="359">
        <v>0</v>
      </c>
      <c r="E258" s="359">
        <v>10</v>
      </c>
      <c r="F258" s="3">
        <f>+D258*E258</f>
        <v>0</v>
      </c>
      <c r="G258" s="29"/>
      <c r="H258" s="278"/>
    </row>
    <row r="259" spans="1:8" ht="13.5" hidden="1" customHeight="1">
      <c r="B259" s="244" t="s">
        <v>84</v>
      </c>
      <c r="C259" s="4" t="s">
        <v>8</v>
      </c>
      <c r="D259" s="360">
        <v>0</v>
      </c>
      <c r="E259" s="360">
        <v>5</v>
      </c>
      <c r="F259" s="4">
        <f>+D259*E259</f>
        <v>0</v>
      </c>
      <c r="G259" s="29"/>
      <c r="H259" s="278"/>
    </row>
    <row r="260" spans="1:8" ht="13.5" hidden="1" customHeight="1">
      <c r="A260" s="33"/>
      <c r="B260" s="244" t="s">
        <v>81</v>
      </c>
      <c r="C260" s="4" t="s">
        <v>8</v>
      </c>
      <c r="D260" s="360">
        <v>0</v>
      </c>
      <c r="E260" s="360">
        <v>6.5</v>
      </c>
      <c r="F260" s="4">
        <f>+D260*E260</f>
        <v>0</v>
      </c>
      <c r="G260" s="29"/>
      <c r="H260" s="278"/>
    </row>
    <row r="261" spans="1:8" ht="13.5" hidden="1" customHeight="1">
      <c r="A261" s="35"/>
      <c r="B261" s="244" t="s">
        <v>82</v>
      </c>
      <c r="C261" s="4" t="s">
        <v>8</v>
      </c>
      <c r="D261" s="361">
        <v>0</v>
      </c>
      <c r="E261" s="361">
        <v>17.5</v>
      </c>
      <c r="F261" s="4">
        <f>+D261*E261</f>
        <v>0</v>
      </c>
      <c r="G261" s="29"/>
      <c r="H261" s="279"/>
    </row>
    <row r="262" spans="1:8" ht="13.5" hidden="1" customHeight="1">
      <c r="A262" s="35"/>
      <c r="B262" s="498" t="s">
        <v>3</v>
      </c>
      <c r="C262" s="499"/>
      <c r="D262" s="499"/>
      <c r="E262" s="500"/>
      <c r="F262" s="322">
        <f>SUM(F258:F261)</f>
        <v>0</v>
      </c>
      <c r="G262" s="29"/>
      <c r="H262" s="279"/>
    </row>
    <row r="263" spans="1:8" ht="13.5" hidden="1" customHeight="1">
      <c r="A263" s="18"/>
      <c r="B263" s="47"/>
      <c r="C263" s="47"/>
      <c r="D263" s="47"/>
      <c r="E263" s="47"/>
      <c r="F263" s="47"/>
      <c r="G263" s="29"/>
      <c r="H263" s="279"/>
    </row>
    <row r="264" spans="1:8" ht="13.5" hidden="1" customHeight="1">
      <c r="A264" s="18"/>
      <c r="B264" s="40" t="s">
        <v>120</v>
      </c>
      <c r="C264" s="41"/>
      <c r="D264" s="41"/>
      <c r="E264" s="323"/>
      <c r="F264" s="348" t="s">
        <v>0</v>
      </c>
      <c r="G264" s="29"/>
      <c r="H264" s="278"/>
    </row>
    <row r="265" spans="1:8" ht="13.5" hidden="1" customHeight="1">
      <c r="A265" s="18"/>
      <c r="B265" s="40"/>
      <c r="C265" s="41"/>
      <c r="D265" s="41"/>
      <c r="E265" s="41"/>
      <c r="F265" s="323"/>
      <c r="G265" s="29"/>
      <c r="H265" s="278"/>
    </row>
    <row r="266" spans="1:8" ht="13.5" hidden="1" customHeight="1">
      <c r="A266" s="42" t="s">
        <v>22</v>
      </c>
      <c r="B266" s="37" t="s">
        <v>23</v>
      </c>
      <c r="C266" s="37" t="s">
        <v>2</v>
      </c>
      <c r="D266" s="37" t="s">
        <v>24</v>
      </c>
      <c r="E266" s="37" t="s">
        <v>5</v>
      </c>
      <c r="F266" s="36" t="s">
        <v>3</v>
      </c>
      <c r="G266" s="32">
        <f>+F274</f>
        <v>0</v>
      </c>
      <c r="H266" s="278"/>
    </row>
    <row r="267" spans="1:8" ht="13.5" hidden="1" customHeight="1">
      <c r="A267" s="42"/>
      <c r="B267" s="1" t="s">
        <v>25</v>
      </c>
      <c r="C267" s="3" t="s">
        <v>6</v>
      </c>
      <c r="D267" s="362">
        <v>0</v>
      </c>
      <c r="E267" s="363">
        <v>13</v>
      </c>
      <c r="F267" s="3">
        <f>+D267*E267</f>
        <v>0</v>
      </c>
      <c r="G267" s="29"/>
      <c r="H267" s="278"/>
    </row>
    <row r="268" spans="1:8" ht="13.5" hidden="1" customHeight="1">
      <c r="A268" s="42"/>
      <c r="B268" s="2" t="s">
        <v>27</v>
      </c>
      <c r="C268" s="4" t="s">
        <v>6</v>
      </c>
      <c r="D268" s="364">
        <v>0</v>
      </c>
      <c r="E268" s="365">
        <v>12</v>
      </c>
      <c r="F268" s="4">
        <f t="shared" ref="F268:F273" si="0">+D268*E268</f>
        <v>0</v>
      </c>
      <c r="G268" s="29"/>
      <c r="H268" s="278"/>
    </row>
    <row r="269" spans="1:8" ht="13.5" hidden="1" customHeight="1">
      <c r="A269" s="42"/>
      <c r="B269" s="2" t="s">
        <v>7</v>
      </c>
      <c r="C269" s="4" t="s">
        <v>6</v>
      </c>
      <c r="D269" s="364">
        <v>0</v>
      </c>
      <c r="E269" s="365">
        <v>25</v>
      </c>
      <c r="F269" s="4">
        <f t="shared" si="0"/>
        <v>0</v>
      </c>
      <c r="G269" s="29"/>
      <c r="H269" s="278"/>
    </row>
    <row r="270" spans="1:8" ht="13.5" hidden="1" customHeight="1">
      <c r="A270" s="42"/>
      <c r="B270" s="2" t="s">
        <v>74</v>
      </c>
      <c r="C270" s="4" t="s">
        <v>6</v>
      </c>
      <c r="D270" s="364">
        <v>0</v>
      </c>
      <c r="E270" s="365">
        <v>35</v>
      </c>
      <c r="F270" s="4">
        <f t="shared" si="0"/>
        <v>0</v>
      </c>
      <c r="G270" s="29"/>
      <c r="H270" s="278"/>
    </row>
    <row r="271" spans="1:8" ht="13.5" hidden="1" customHeight="1">
      <c r="A271" s="42"/>
      <c r="B271" s="2" t="s">
        <v>75</v>
      </c>
      <c r="C271" s="4" t="s">
        <v>6</v>
      </c>
      <c r="D271" s="364">
        <v>0</v>
      </c>
      <c r="E271" s="365">
        <v>30</v>
      </c>
      <c r="F271" s="4">
        <f t="shared" si="0"/>
        <v>0</v>
      </c>
      <c r="H271" s="278"/>
    </row>
    <row r="272" spans="1:8" ht="13.5" hidden="1" customHeight="1">
      <c r="A272" s="42"/>
      <c r="B272" s="2" t="s">
        <v>26</v>
      </c>
      <c r="C272" s="4" t="s">
        <v>72</v>
      </c>
      <c r="D272" s="364">
        <v>0</v>
      </c>
      <c r="E272" s="365">
        <v>10</v>
      </c>
      <c r="F272" s="4">
        <f t="shared" si="0"/>
        <v>0</v>
      </c>
      <c r="H272" s="278"/>
    </row>
    <row r="273" spans="1:8" ht="13.5" hidden="1" customHeight="1">
      <c r="A273" s="30"/>
      <c r="B273" s="5" t="s">
        <v>70</v>
      </c>
      <c r="C273" s="6" t="s">
        <v>9</v>
      </c>
      <c r="D273" s="366">
        <v>0</v>
      </c>
      <c r="E273" s="367"/>
      <c r="F273" s="6">
        <f t="shared" si="0"/>
        <v>0</v>
      </c>
      <c r="H273" s="278"/>
    </row>
    <row r="274" spans="1:8" ht="13.5" hidden="1" customHeight="1">
      <c r="A274" s="30"/>
      <c r="B274" s="498" t="s">
        <v>3</v>
      </c>
      <c r="C274" s="499"/>
      <c r="D274" s="499"/>
      <c r="E274" s="500"/>
      <c r="F274" s="6">
        <f>SUM(F267:F273)</f>
        <v>0</v>
      </c>
      <c r="G274" s="24"/>
      <c r="H274" s="278"/>
    </row>
    <row r="275" spans="1:8" ht="13.5" hidden="1" customHeight="1">
      <c r="B275" s="48"/>
      <c r="C275" s="41"/>
      <c r="D275" s="41"/>
      <c r="E275" s="41"/>
      <c r="F275" s="41"/>
      <c r="H275" s="278"/>
    </row>
    <row r="276" spans="1:8" ht="13.5" hidden="1" customHeight="1">
      <c r="B276" s="40" t="s">
        <v>28</v>
      </c>
      <c r="C276" s="41"/>
      <c r="D276" s="41"/>
      <c r="E276" s="323"/>
      <c r="F276" s="348" t="s">
        <v>0</v>
      </c>
      <c r="H276" s="278"/>
    </row>
    <row r="277" spans="1:8" ht="13.5" customHeight="1">
      <c r="B277" s="40"/>
      <c r="C277" s="41"/>
      <c r="D277" s="41"/>
      <c r="E277" s="323"/>
      <c r="F277" s="348"/>
      <c r="H277" s="278"/>
    </row>
    <row r="278" spans="1:8" ht="13.5" customHeight="1">
      <c r="B278" s="40"/>
      <c r="C278" s="41"/>
      <c r="D278" s="41"/>
      <c r="E278" s="323"/>
      <c r="F278" s="323"/>
      <c r="H278" s="278"/>
    </row>
    <row r="279" spans="1:8" ht="14.85" hidden="1" customHeight="1">
      <c r="A279" s="33"/>
      <c r="B279" s="164" t="s">
        <v>28</v>
      </c>
      <c r="C279" s="165"/>
      <c r="D279" s="165"/>
      <c r="E279" s="165"/>
      <c r="F279" s="321" t="s">
        <v>0</v>
      </c>
      <c r="G279" s="252">
        <f>+F291</f>
        <v>0</v>
      </c>
      <c r="H279" s="278"/>
    </row>
    <row r="280" spans="1:8" ht="14.85" hidden="1" customHeight="1">
      <c r="A280" s="42"/>
      <c r="B280" s="40"/>
      <c r="C280" s="41"/>
      <c r="D280" s="41"/>
      <c r="E280" s="41"/>
      <c r="F280" s="41"/>
      <c r="H280" s="278"/>
    </row>
    <row r="281" spans="1:8" ht="14.85" hidden="1" customHeight="1">
      <c r="A281" s="49" t="s">
        <v>12</v>
      </c>
      <c r="B281" s="37" t="s">
        <v>23</v>
      </c>
      <c r="C281" s="37" t="s">
        <v>29</v>
      </c>
      <c r="D281" s="37" t="s">
        <v>24</v>
      </c>
      <c r="E281" s="37" t="s">
        <v>5</v>
      </c>
      <c r="F281" s="37" t="s">
        <v>3</v>
      </c>
      <c r="G281" s="326"/>
      <c r="H281" s="278"/>
    </row>
    <row r="282" spans="1:8" ht="14.85" hidden="1" customHeight="1">
      <c r="A282" s="30"/>
      <c r="B282" s="330"/>
      <c r="C282" s="328"/>
      <c r="D282" s="368"/>
      <c r="E282" s="368"/>
      <c r="F282" s="369"/>
      <c r="G282" s="243"/>
      <c r="H282" s="280"/>
    </row>
    <row r="283" spans="1:8" ht="14.85" hidden="1" customHeight="1">
      <c r="A283" s="30"/>
      <c r="B283" s="330"/>
      <c r="C283" s="328"/>
      <c r="D283" s="368"/>
      <c r="E283" s="368"/>
      <c r="F283" s="369"/>
      <c r="G283" s="243"/>
      <c r="H283" s="280"/>
    </row>
    <row r="284" spans="1:8" ht="14.85" hidden="1" customHeight="1">
      <c r="A284" s="30"/>
      <c r="B284" s="330"/>
      <c r="C284" s="328"/>
      <c r="D284" s="368"/>
      <c r="E284" s="368"/>
      <c r="F284" s="369"/>
      <c r="G284" s="243"/>
      <c r="H284" s="280"/>
    </row>
    <row r="285" spans="1:8" ht="14.85" hidden="1" customHeight="1">
      <c r="A285" s="30"/>
      <c r="B285" s="330"/>
      <c r="C285" s="328"/>
      <c r="D285" s="368"/>
      <c r="E285" s="368"/>
      <c r="F285" s="369"/>
      <c r="G285" s="243"/>
      <c r="H285" s="280"/>
    </row>
    <row r="286" spans="1:8" ht="14.85" hidden="1" customHeight="1">
      <c r="A286" s="30"/>
      <c r="B286" s="330"/>
      <c r="C286" s="328"/>
      <c r="D286" s="368"/>
      <c r="E286" s="368"/>
      <c r="F286" s="369"/>
      <c r="G286" s="243"/>
      <c r="H286" s="280"/>
    </row>
    <row r="287" spans="1:8" ht="14.85" hidden="1" customHeight="1">
      <c r="A287" s="30"/>
      <c r="B287" s="330"/>
      <c r="C287" s="328"/>
      <c r="D287" s="368"/>
      <c r="E287" s="368"/>
      <c r="F287" s="369"/>
      <c r="G287" s="243"/>
      <c r="H287" s="280"/>
    </row>
    <row r="288" spans="1:8" ht="14.85" hidden="1" customHeight="1">
      <c r="A288" s="30"/>
      <c r="B288" s="330"/>
      <c r="C288" s="328"/>
      <c r="D288" s="368"/>
      <c r="E288" s="368"/>
      <c r="F288" s="369"/>
      <c r="G288" s="243"/>
      <c r="H288" s="280"/>
    </row>
    <row r="289" spans="1:8" ht="14.85" hidden="1" customHeight="1">
      <c r="A289" s="30"/>
      <c r="B289" s="330"/>
      <c r="C289" s="328"/>
      <c r="D289" s="368"/>
      <c r="E289" s="368"/>
      <c r="F289" s="369"/>
      <c r="G289" s="243"/>
      <c r="H289" s="280"/>
    </row>
    <row r="290" spans="1:8" ht="14.85" hidden="1" customHeight="1">
      <c r="A290" s="30"/>
      <c r="B290" s="330"/>
      <c r="C290" s="328"/>
      <c r="D290" s="368"/>
      <c r="E290" s="368"/>
      <c r="F290" s="369"/>
      <c r="G290" s="243"/>
      <c r="H290" s="280"/>
    </row>
    <row r="291" spans="1:8" ht="14.85" hidden="1" customHeight="1">
      <c r="A291" s="30"/>
      <c r="B291" s="498" t="s">
        <v>3</v>
      </c>
      <c r="C291" s="501"/>
      <c r="D291" s="501"/>
      <c r="E291" s="502"/>
      <c r="F291" s="37">
        <f>SUM(F282:F290)</f>
        <v>0</v>
      </c>
      <c r="G291" s="243"/>
      <c r="H291" s="280"/>
    </row>
    <row r="292" spans="1:8" ht="14.85" hidden="1" customHeight="1">
      <c r="A292" s="30"/>
      <c r="B292" s="40"/>
      <c r="C292" s="41"/>
      <c r="D292" s="370"/>
      <c r="E292" s="370"/>
      <c r="F292" s="323"/>
      <c r="G292" s="243"/>
      <c r="H292" s="280"/>
    </row>
    <row r="293" spans="1:8" ht="14.85" hidden="1" customHeight="1">
      <c r="A293" s="42"/>
      <c r="B293" s="164" t="s">
        <v>263</v>
      </c>
      <c r="C293" s="165"/>
      <c r="D293" s="165"/>
      <c r="E293" s="371"/>
      <c r="F293" s="321" t="s">
        <v>0</v>
      </c>
      <c r="G293" s="252">
        <f>+F297</f>
        <v>0</v>
      </c>
      <c r="H293" s="280"/>
    </row>
    <row r="294" spans="1:8" ht="14.85" hidden="1" customHeight="1">
      <c r="A294" s="30"/>
      <c r="B294" s="40"/>
      <c r="C294" s="41"/>
      <c r="D294" s="41"/>
      <c r="E294" s="41"/>
      <c r="F294" s="41"/>
      <c r="H294" s="280"/>
    </row>
    <row r="295" spans="1:8" ht="14.85" hidden="1" customHeight="1">
      <c r="A295" s="30"/>
      <c r="B295" s="257" t="s">
        <v>23</v>
      </c>
      <c r="C295" s="37" t="s">
        <v>2</v>
      </c>
      <c r="D295" s="37" t="s">
        <v>30</v>
      </c>
      <c r="E295" s="349" t="s">
        <v>5</v>
      </c>
      <c r="F295" s="37" t="s">
        <v>4</v>
      </c>
      <c r="G295" s="326"/>
      <c r="H295" s="280"/>
    </row>
    <row r="296" spans="1:8" ht="14.85" hidden="1" customHeight="1">
      <c r="A296" s="30"/>
      <c r="B296" s="239"/>
      <c r="C296" s="324"/>
      <c r="D296" s="324"/>
      <c r="E296" s="324"/>
      <c r="F296" s="324"/>
      <c r="H296" s="280"/>
    </row>
    <row r="297" spans="1:8" ht="14.85" hidden="1" customHeight="1">
      <c r="A297" s="30"/>
      <c r="B297" s="498" t="s">
        <v>3</v>
      </c>
      <c r="C297" s="499"/>
      <c r="D297" s="499"/>
      <c r="E297" s="500"/>
      <c r="F297" s="372">
        <f>SUM(F296:F296)</f>
        <v>0</v>
      </c>
      <c r="G297" s="243"/>
      <c r="H297" s="280"/>
    </row>
    <row r="298" spans="1:8" ht="14.85" hidden="1" customHeight="1">
      <c r="A298" s="30"/>
      <c r="B298" s="50"/>
      <c r="C298" s="348"/>
      <c r="D298" s="348"/>
      <c r="E298" s="348"/>
      <c r="F298" s="325"/>
      <c r="H298" s="280"/>
    </row>
    <row r="299" spans="1:8" ht="14.85" hidden="1" customHeight="1">
      <c r="A299" s="30"/>
      <c r="B299" s="264"/>
      <c r="C299" s="264"/>
      <c r="D299" s="264"/>
      <c r="E299" s="264"/>
      <c r="F299" s="167"/>
      <c r="G299" s="265"/>
      <c r="H299" s="280"/>
    </row>
    <row r="300" spans="1:8" ht="14.85" hidden="1" customHeight="1">
      <c r="A300" s="30"/>
      <c r="B300" s="50"/>
      <c r="C300" s="348"/>
      <c r="D300" s="348"/>
      <c r="E300" s="348"/>
      <c r="F300" s="47"/>
      <c r="H300" s="280"/>
    </row>
    <row r="301" spans="1:8" ht="14.85" hidden="1" customHeight="1">
      <c r="A301" s="30"/>
      <c r="H301" s="280"/>
    </row>
    <row r="302" spans="1:8" ht="14.85" customHeight="1">
      <c r="A302" s="30"/>
      <c r="H302" s="280"/>
    </row>
    <row r="303" spans="1:8" ht="14.85" customHeight="1">
      <c r="A303" s="497" t="s">
        <v>69</v>
      </c>
      <c r="B303" s="497"/>
      <c r="C303" s="497"/>
      <c r="D303" s="497"/>
      <c r="E303" s="497"/>
      <c r="F303" s="378" t="s">
        <v>0</v>
      </c>
      <c r="G303" s="379">
        <f>+G20</f>
        <v>441917.83</v>
      </c>
      <c r="H303" s="280"/>
    </row>
    <row r="304" spans="1:8" ht="14.85" customHeight="1">
      <c r="A304" s="380"/>
      <c r="B304" s="381"/>
      <c r="C304" s="381"/>
      <c r="D304" s="381"/>
      <c r="E304" s="381"/>
      <c r="F304" s="381"/>
      <c r="G304" s="382"/>
      <c r="H304" s="327"/>
    </row>
    <row r="305" spans="1:8" ht="14.85" customHeight="1">
      <c r="A305" s="29"/>
      <c r="B305" s="271"/>
      <c r="C305" s="373"/>
      <c r="D305" s="47"/>
      <c r="E305" s="47"/>
      <c r="F305" s="47"/>
      <c r="G305" s="20"/>
      <c r="H305" s="280"/>
    </row>
    <row r="306" spans="1:8" ht="14.85" customHeight="1">
      <c r="A306" s="29"/>
      <c r="B306" s="271"/>
      <c r="C306" s="373"/>
      <c r="D306" s="47"/>
      <c r="E306" s="47"/>
      <c r="F306" s="47"/>
      <c r="G306" s="20"/>
      <c r="H306" s="280"/>
    </row>
    <row r="307" spans="1:8" ht="14.85" customHeight="1">
      <c r="A307" s="29"/>
      <c r="B307" s="495"/>
      <c r="C307" s="496"/>
      <c r="D307" s="496"/>
      <c r="E307" s="496"/>
      <c r="F307" s="348"/>
      <c r="G307" s="270"/>
      <c r="H307" s="280"/>
    </row>
    <row r="308" spans="1:8" ht="14.85" hidden="1" customHeight="1">
      <c r="A308" s="29"/>
      <c r="B308" s="50"/>
      <c r="C308" s="348"/>
      <c r="D308" s="348"/>
      <c r="E308" s="348"/>
      <c r="F308" s="47"/>
      <c r="G308" s="20"/>
      <c r="H308" s="280"/>
    </row>
    <row r="309" spans="1:8" ht="14.25" hidden="1" customHeight="1">
      <c r="A309" s="29"/>
      <c r="B309" s="20"/>
      <c r="C309" s="272"/>
      <c r="D309" s="272"/>
      <c r="E309" s="272"/>
      <c r="F309" s="272"/>
      <c r="G309" s="20"/>
      <c r="H309" s="280"/>
    </row>
    <row r="310" spans="1:8" ht="14.25" hidden="1" customHeight="1">
      <c r="A310" s="29"/>
      <c r="B310" s="20"/>
      <c r="C310" s="272"/>
      <c r="D310" s="272"/>
      <c r="E310" s="272"/>
      <c r="F310" s="272"/>
      <c r="G310" s="20"/>
      <c r="H310" s="280"/>
    </row>
    <row r="311" spans="1:8" ht="14.25" hidden="1" customHeight="1">
      <c r="A311" s="495"/>
      <c r="B311" s="495"/>
      <c r="C311" s="495"/>
      <c r="D311" s="495"/>
      <c r="E311" s="495"/>
      <c r="F311" s="348"/>
      <c r="G311" s="32"/>
      <c r="H311" s="280"/>
    </row>
    <row r="312" spans="1:8" ht="14.25" hidden="1" customHeight="1">
      <c r="A312" s="20"/>
      <c r="B312" s="20"/>
      <c r="C312" s="272"/>
      <c r="D312" s="272"/>
      <c r="E312" s="272"/>
      <c r="F312" s="272"/>
      <c r="G312" s="20"/>
      <c r="H312" s="280"/>
    </row>
    <row r="313" spans="1:8" ht="14.25" hidden="1" customHeight="1">
      <c r="A313" s="20"/>
      <c r="B313" s="20"/>
      <c r="C313" s="272"/>
      <c r="D313" s="272"/>
      <c r="E313" s="272"/>
      <c r="F313" s="272"/>
      <c r="G313" s="28"/>
      <c r="H313" s="280"/>
    </row>
    <row r="314" spans="1:8" ht="14.25" hidden="1" customHeight="1">
      <c r="A314" s="20"/>
      <c r="B314" s="20"/>
      <c r="C314" s="272"/>
      <c r="D314" s="272"/>
      <c r="E314" s="272"/>
      <c r="F314" s="272"/>
      <c r="G314" s="28"/>
      <c r="H314" s="280"/>
    </row>
    <row r="315" spans="1:8" ht="14.25" customHeight="1">
      <c r="A315" s="20"/>
      <c r="B315" s="20"/>
      <c r="C315" s="272"/>
      <c r="D315" s="272"/>
      <c r="E315" s="272"/>
      <c r="F315" s="272"/>
      <c r="G315" s="20"/>
      <c r="H315" s="280"/>
    </row>
    <row r="316" spans="1:8" ht="14.25" customHeight="1">
      <c r="A316" s="273"/>
      <c r="B316" s="274"/>
      <c r="C316" s="276"/>
      <c r="D316" s="276"/>
      <c r="E316" s="276"/>
      <c r="F316" s="276"/>
      <c r="G316" s="274"/>
      <c r="H316" s="253"/>
    </row>
    <row r="317" spans="1:8" ht="14.25" customHeight="1">
      <c r="A317" s="273"/>
      <c r="B317" s="274"/>
      <c r="C317" s="276"/>
      <c r="D317" s="276"/>
      <c r="E317" s="276"/>
      <c r="F317" s="276"/>
      <c r="G317" s="274"/>
      <c r="H317" s="253"/>
    </row>
    <row r="318" spans="1:8" ht="14.25" customHeight="1">
      <c r="A318" s="491"/>
      <c r="B318" s="491"/>
      <c r="C318" s="491"/>
      <c r="D318" s="491"/>
      <c r="E318" s="491"/>
      <c r="F318" s="347"/>
      <c r="G318" s="275"/>
      <c r="H318" s="253"/>
    </row>
    <row r="319" spans="1:8" ht="14.25" customHeight="1">
      <c r="H319" s="253"/>
    </row>
    <row r="320" spans="1:8" ht="14.25" customHeight="1">
      <c r="G320" s="24"/>
      <c r="H320" s="253"/>
    </row>
    <row r="321" spans="7:8" ht="14.25" customHeight="1">
      <c r="G321" s="24"/>
      <c r="H321" s="253"/>
    </row>
    <row r="322" spans="7:8" ht="18" customHeight="1">
      <c r="G322" s="24"/>
      <c r="H322" s="253"/>
    </row>
    <row r="323" spans="7:8">
      <c r="H323" s="253"/>
    </row>
    <row r="324" spans="7:8">
      <c r="H324" s="253"/>
    </row>
    <row r="325" spans="7:8">
      <c r="H325" s="253"/>
    </row>
    <row r="326" spans="7:8">
      <c r="H326" s="253"/>
    </row>
    <row r="327" spans="7:8">
      <c r="H327" s="253"/>
    </row>
    <row r="328" spans="7:8">
      <c r="H328" s="253"/>
    </row>
    <row r="329" spans="7:8">
      <c r="H329" s="253"/>
    </row>
    <row r="330" spans="7:8">
      <c r="H330" s="253"/>
    </row>
    <row r="331" spans="7:8">
      <c r="H331" s="253"/>
    </row>
    <row r="332" spans="7:8">
      <c r="H332" s="253"/>
    </row>
    <row r="333" spans="7:8">
      <c r="H333" s="253"/>
    </row>
    <row r="334" spans="7:8">
      <c r="H334" s="253"/>
    </row>
    <row r="335" spans="7:8">
      <c r="H335" s="253"/>
    </row>
    <row r="336" spans="7:8">
      <c r="H336" s="253"/>
    </row>
    <row r="337" spans="8:8">
      <c r="H337" s="253"/>
    </row>
    <row r="338" spans="8:8">
      <c r="H338" s="253"/>
    </row>
    <row r="339" spans="8:8">
      <c r="H339" s="253"/>
    </row>
    <row r="340" spans="8:8">
      <c r="H340" s="253"/>
    </row>
    <row r="341" spans="8:8">
      <c r="H341" s="253"/>
    </row>
    <row r="342" spans="8:8">
      <c r="H342" s="253"/>
    </row>
    <row r="343" spans="8:8">
      <c r="H343" s="253"/>
    </row>
    <row r="344" spans="8:8">
      <c r="H344" s="253"/>
    </row>
    <row r="345" spans="8:8">
      <c r="H345" s="253"/>
    </row>
    <row r="346" spans="8:8">
      <c r="H346" s="253"/>
    </row>
    <row r="347" spans="8:8">
      <c r="H347" s="253"/>
    </row>
    <row r="348" spans="8:8">
      <c r="H348" s="253"/>
    </row>
    <row r="349" spans="8:8">
      <c r="H349" s="253"/>
    </row>
    <row r="350" spans="8:8">
      <c r="H350" s="253"/>
    </row>
    <row r="351" spans="8:8">
      <c r="H351" s="253"/>
    </row>
    <row r="352" spans="8:8">
      <c r="H352" s="253"/>
    </row>
    <row r="353" spans="8:8">
      <c r="H353" s="253"/>
    </row>
    <row r="354" spans="8:8">
      <c r="H354" s="253"/>
    </row>
    <row r="355" spans="8:8">
      <c r="H355" s="253"/>
    </row>
    <row r="356" spans="8:8">
      <c r="H356" s="253"/>
    </row>
    <row r="357" spans="8:8">
      <c r="H357" s="253"/>
    </row>
    <row r="358" spans="8:8">
      <c r="H358" s="253"/>
    </row>
    <row r="359" spans="8:8">
      <c r="H359" s="253"/>
    </row>
    <row r="360" spans="8:8">
      <c r="H360" s="253"/>
    </row>
    <row r="361" spans="8:8">
      <c r="H361" s="253"/>
    </row>
    <row r="362" spans="8:8">
      <c r="H362" s="253"/>
    </row>
    <row r="363" spans="8:8">
      <c r="H363" s="253"/>
    </row>
    <row r="364" spans="8:8">
      <c r="H364" s="253"/>
    </row>
    <row r="365" spans="8:8">
      <c r="H365" s="253"/>
    </row>
    <row r="366" spans="8:8">
      <c r="H366" s="253"/>
    </row>
    <row r="367" spans="8:8">
      <c r="H367" s="253"/>
    </row>
    <row r="368" spans="8:8">
      <c r="H368" s="253"/>
    </row>
    <row r="369" spans="8:8">
      <c r="H369" s="253"/>
    </row>
    <row r="370" spans="8:8">
      <c r="H370" s="253"/>
    </row>
    <row r="371" spans="8:8">
      <c r="H371" s="253"/>
    </row>
    <row r="372" spans="8:8">
      <c r="H372" s="253"/>
    </row>
    <row r="373" spans="8:8">
      <c r="H373" s="253"/>
    </row>
    <row r="374" spans="8:8">
      <c r="H374" s="253"/>
    </row>
    <row r="375" spans="8:8">
      <c r="H375" s="253"/>
    </row>
    <row r="376" spans="8:8">
      <c r="H376" s="253"/>
    </row>
    <row r="377" spans="8:8">
      <c r="H377" s="253"/>
    </row>
    <row r="378" spans="8:8">
      <c r="H378" s="253"/>
    </row>
    <row r="379" spans="8:8">
      <c r="H379" s="253"/>
    </row>
    <row r="380" spans="8:8">
      <c r="H380" s="253"/>
    </row>
    <row r="381" spans="8:8">
      <c r="H381" s="253"/>
    </row>
    <row r="382" spans="8:8">
      <c r="H382" s="253"/>
    </row>
    <row r="383" spans="8:8">
      <c r="H383" s="253"/>
    </row>
    <row r="384" spans="8:8">
      <c r="H384" s="253"/>
    </row>
    <row r="385" spans="8:8">
      <c r="H385" s="253"/>
    </row>
    <row r="386" spans="8:8">
      <c r="H386" s="253"/>
    </row>
    <row r="387" spans="8:8">
      <c r="H387" s="253"/>
    </row>
    <row r="388" spans="8:8">
      <c r="H388" s="253"/>
    </row>
    <row r="389" spans="8:8">
      <c r="H389" s="253"/>
    </row>
    <row r="390" spans="8:8">
      <c r="H390" s="253"/>
    </row>
    <row r="391" spans="8:8">
      <c r="H391" s="253"/>
    </row>
    <row r="392" spans="8:8">
      <c r="H392" s="253"/>
    </row>
    <row r="393" spans="8:8">
      <c r="H393" s="253"/>
    </row>
    <row r="394" spans="8:8">
      <c r="H394" s="253"/>
    </row>
    <row r="395" spans="8:8">
      <c r="H395" s="253"/>
    </row>
    <row r="396" spans="8:8">
      <c r="H396" s="253"/>
    </row>
    <row r="397" spans="8:8">
      <c r="H397" s="253"/>
    </row>
    <row r="398" spans="8:8">
      <c r="H398" s="253"/>
    </row>
    <row r="399" spans="8:8">
      <c r="H399" s="253"/>
    </row>
    <row r="400" spans="8:8">
      <c r="H400" s="253"/>
    </row>
    <row r="401" spans="8:8">
      <c r="H401" s="253"/>
    </row>
    <row r="402" spans="8:8">
      <c r="H402" s="253"/>
    </row>
    <row r="403" spans="8:8">
      <c r="H403" s="253"/>
    </row>
    <row r="404" spans="8:8">
      <c r="H404" s="253"/>
    </row>
    <row r="405" spans="8:8">
      <c r="H405" s="253"/>
    </row>
    <row r="406" spans="8:8">
      <c r="H406" s="253"/>
    </row>
    <row r="407" spans="8:8">
      <c r="H407" s="253"/>
    </row>
    <row r="408" spans="8:8">
      <c r="H408" s="253"/>
    </row>
    <row r="409" spans="8:8">
      <c r="H409" s="253"/>
    </row>
    <row r="410" spans="8:8">
      <c r="H410" s="253"/>
    </row>
    <row r="411" spans="8:8">
      <c r="H411" s="253"/>
    </row>
    <row r="412" spans="8:8">
      <c r="H412" s="253"/>
    </row>
    <row r="413" spans="8:8">
      <c r="H413" s="253"/>
    </row>
    <row r="414" spans="8:8">
      <c r="H414" s="253"/>
    </row>
    <row r="415" spans="8:8">
      <c r="H415" s="253"/>
    </row>
    <row r="416" spans="8:8">
      <c r="H416" s="253"/>
    </row>
    <row r="417" spans="8:8">
      <c r="H417" s="253"/>
    </row>
    <row r="418" spans="8:8">
      <c r="H418" s="253"/>
    </row>
    <row r="419" spans="8:8">
      <c r="H419" s="253"/>
    </row>
    <row r="420" spans="8:8">
      <c r="H420" s="253"/>
    </row>
    <row r="421" spans="8:8">
      <c r="H421" s="253"/>
    </row>
    <row r="422" spans="8:8">
      <c r="H422" s="253"/>
    </row>
    <row r="423" spans="8:8">
      <c r="H423" s="253"/>
    </row>
  </sheetData>
  <mergeCells count="23">
    <mergeCell ref="A318:E318"/>
    <mergeCell ref="B221:E221"/>
    <mergeCell ref="C15:F15"/>
    <mergeCell ref="A28:G28"/>
    <mergeCell ref="B307:E307"/>
    <mergeCell ref="B174:E174"/>
    <mergeCell ref="B233:E233"/>
    <mergeCell ref="A303:E303"/>
    <mergeCell ref="A311:E311"/>
    <mergeCell ref="B184:E184"/>
    <mergeCell ref="B274:E274"/>
    <mergeCell ref="B198:E198"/>
    <mergeCell ref="B165:E165"/>
    <mergeCell ref="B291:E291"/>
    <mergeCell ref="B262:E262"/>
    <mergeCell ref="B297:E297"/>
    <mergeCell ref="A3:G3"/>
    <mergeCell ref="B209:E209"/>
    <mergeCell ref="A26:G26"/>
    <mergeCell ref="B253:E253"/>
    <mergeCell ref="B243:E243"/>
    <mergeCell ref="B20:F20"/>
    <mergeCell ref="C11:G12"/>
  </mergeCells>
  <phoneticPr fontId="0" type="noConversion"/>
  <conditionalFormatting sqref="C13:G13 C11">
    <cfRule type="aboveAverage" dxfId="3" priority="2" stopIfTrue="1" aboveAverage="0"/>
  </conditionalFormatting>
  <conditionalFormatting sqref="C11">
    <cfRule type="aboveAverage" dxfId="2" priority="1" stopIfTrue="1" aboveAverage="0"/>
  </conditionalFormatting>
  <printOptions horizontalCentered="1"/>
  <pageMargins left="0.98425196850393704" right="0.39370078740157483" top="1.25" bottom="0.98425196850393704" header="0" footer="0"/>
  <pageSetup paperSize="9" scale="70" orientation="portrait" horizontalDpi="4294967293" r:id="rId1"/>
  <headerFooter alignWithMargins="0">
    <oddHeader>&amp;C&amp;G</oddHead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indexed="43"/>
  </sheetPr>
  <dimension ref="A1:K149"/>
  <sheetViews>
    <sheetView view="pageBreakPreview" topLeftCell="A111" zoomScale="85" zoomScaleNormal="85" zoomScaleSheetLayoutView="85" zoomScalePageLayoutView="75" workbookViewId="0">
      <selection activeCell="A93" sqref="A93"/>
    </sheetView>
  </sheetViews>
  <sheetFormatPr baseColWidth="10" defaultRowHeight="12.75"/>
  <cols>
    <col min="1" max="1" width="6" style="55" customWidth="1"/>
    <col min="2" max="2" width="46" style="58" customWidth="1"/>
    <col min="3" max="3" width="19.140625" style="58" customWidth="1"/>
    <col min="4" max="4" width="15.7109375" style="61" customWidth="1"/>
    <col min="5" max="5" width="11.140625" style="61" customWidth="1"/>
    <col min="6" max="7" width="14.7109375" style="58" customWidth="1"/>
    <col min="8" max="16384" width="11.42578125" style="51"/>
  </cols>
  <sheetData>
    <row r="1" spans="1:7" ht="21" customHeight="1" thickBot="1"/>
    <row r="2" spans="1:7" ht="21" hidden="1" customHeight="1"/>
    <row r="3" spans="1:7" ht="45.75" customHeight="1" thickBot="1">
      <c r="A3" s="503" t="s">
        <v>64</v>
      </c>
      <c r="B3" s="504"/>
      <c r="C3" s="504"/>
      <c r="D3" s="504"/>
      <c r="E3" s="504"/>
      <c r="F3" s="504"/>
      <c r="G3" s="504"/>
    </row>
    <row r="4" spans="1:7" ht="18" hidden="1" customHeight="1">
      <c r="A4" s="52"/>
      <c r="B4" s="53"/>
      <c r="C4" s="53"/>
      <c r="D4" s="54"/>
      <c r="E4" s="54"/>
      <c r="F4" s="53"/>
      <c r="G4" s="53"/>
    </row>
    <row r="5" spans="1:7" ht="18" hidden="1" customHeight="1">
      <c r="B5" s="56"/>
      <c r="C5" s="57"/>
      <c r="D5" s="54"/>
      <c r="E5" s="54"/>
      <c r="F5" s="53"/>
    </row>
    <row r="6" spans="1:7" ht="18" hidden="1" customHeight="1">
      <c r="B6" s="56" t="s">
        <v>33</v>
      </c>
      <c r="C6" s="304"/>
      <c r="D6" s="305"/>
      <c r="E6" s="305"/>
      <c r="F6" s="305"/>
      <c r="G6" s="305"/>
    </row>
    <row r="7" spans="1:7" ht="18" hidden="1" customHeight="1">
      <c r="B7" s="56" t="s">
        <v>61</v>
      </c>
      <c r="C7" s="311">
        <f>+C.Directo!C8</f>
        <v>0</v>
      </c>
      <c r="D7" s="313"/>
      <c r="E7" s="306"/>
      <c r="F7" s="306"/>
      <c r="G7" s="304" t="s">
        <v>1</v>
      </c>
    </row>
    <row r="8" spans="1:7" ht="18" hidden="1" customHeight="1">
      <c r="B8" s="21" t="s">
        <v>62</v>
      </c>
      <c r="C8" s="505">
        <f>+C.Directo!C9</f>
        <v>0</v>
      </c>
      <c r="D8" s="505"/>
      <c r="E8" s="306"/>
      <c r="F8" s="306"/>
      <c r="G8" s="304"/>
    </row>
    <row r="9" spans="1:7" ht="18" hidden="1" customHeight="1">
      <c r="B9" s="21" t="s">
        <v>63</v>
      </c>
      <c r="C9" s="505">
        <f>+C.Directo!C10</f>
        <v>0</v>
      </c>
      <c r="D9" s="505"/>
      <c r="E9" s="306"/>
      <c r="F9" s="306"/>
      <c r="G9" s="306"/>
    </row>
    <row r="10" spans="1:7" ht="30.75" hidden="1" customHeight="1">
      <c r="B10" s="21" t="s">
        <v>104</v>
      </c>
      <c r="C10" s="477">
        <f>+C.Directo!C11</f>
        <v>0</v>
      </c>
      <c r="D10" s="477"/>
      <c r="E10" s="477"/>
      <c r="F10" s="477"/>
      <c r="G10" s="477"/>
    </row>
    <row r="11" spans="1:7" ht="24.75" hidden="1" customHeight="1">
      <c r="B11" s="21"/>
      <c r="C11" s="477"/>
      <c r="D11" s="477"/>
      <c r="E11" s="477"/>
      <c r="F11" s="477"/>
      <c r="G11" s="477"/>
    </row>
    <row r="12" spans="1:7" ht="18" hidden="1" customHeight="1">
      <c r="B12" s="21"/>
      <c r="C12" s="25"/>
      <c r="D12" s="25"/>
      <c r="E12" s="25"/>
      <c r="F12" s="25"/>
      <c r="G12" s="25"/>
    </row>
    <row r="13" spans="1:7" ht="18" customHeight="1" thickBot="1">
      <c r="B13" s="21"/>
      <c r="C13" s="223"/>
      <c r="D13" s="223"/>
      <c r="E13" s="223"/>
      <c r="F13" s="223"/>
      <c r="G13" s="223"/>
    </row>
    <row r="14" spans="1:7" s="153" customFormat="1" ht="20.25" customHeight="1" thickBot="1">
      <c r="A14" s="154"/>
      <c r="B14" s="194" t="s">
        <v>34</v>
      </c>
      <c r="C14" s="506" t="s">
        <v>35</v>
      </c>
      <c r="D14" s="506"/>
      <c r="E14" s="506"/>
      <c r="F14" s="506"/>
      <c r="G14" s="195" t="s">
        <v>36</v>
      </c>
    </row>
    <row r="15" spans="1:7" s="153" customFormat="1" ht="20.25" customHeight="1">
      <c r="A15" s="154"/>
      <c r="B15" s="249" t="str">
        <f>Resumen!B15</f>
        <v>2.6.2.2.2.4</v>
      </c>
      <c r="C15" s="175" t="s">
        <v>127</v>
      </c>
      <c r="D15" s="175"/>
      <c r="E15" s="175"/>
      <c r="F15" s="176"/>
      <c r="G15" s="177">
        <f>+G28</f>
        <v>34779.949999999997</v>
      </c>
    </row>
    <row r="16" spans="1:7" s="153" customFormat="1" ht="20.25" customHeight="1">
      <c r="A16" s="154"/>
      <c r="B16" s="249" t="str">
        <f>Resumen!B16</f>
        <v>2.6.2.2.2.5</v>
      </c>
      <c r="C16" s="169" t="s">
        <v>128</v>
      </c>
      <c r="D16" s="169"/>
      <c r="E16" s="169"/>
      <c r="F16" s="170"/>
      <c r="G16" s="171">
        <f>+G81</f>
        <v>4245.3</v>
      </c>
    </row>
    <row r="17" spans="1:10" s="153" customFormat="1" ht="20.25" customHeight="1">
      <c r="A17" s="154"/>
      <c r="B17" s="249" t="str">
        <f>Resumen!B17</f>
        <v>2.6.2.2.2.6</v>
      </c>
      <c r="C17" s="172" t="s">
        <v>129</v>
      </c>
      <c r="D17" s="172"/>
      <c r="E17" s="172"/>
      <c r="F17" s="170"/>
      <c r="G17" s="171">
        <f>+G127</f>
        <v>600</v>
      </c>
    </row>
    <row r="18" spans="1:10" s="153" customFormat="1" ht="20.25" hidden="1" customHeight="1">
      <c r="A18" s="154"/>
      <c r="B18" s="249" t="str">
        <f>Resumen!B18</f>
        <v>2.6.2.2.2.7</v>
      </c>
      <c r="C18" s="169" t="s">
        <v>130</v>
      </c>
      <c r="D18" s="169"/>
      <c r="E18" s="169"/>
      <c r="F18" s="170"/>
      <c r="G18" s="171">
        <v>0</v>
      </c>
    </row>
    <row r="19" spans="1:10" s="153" customFormat="1" ht="20.25" customHeight="1" thickBot="1">
      <c r="A19" s="154"/>
      <c r="B19" s="512" t="s">
        <v>39</v>
      </c>
      <c r="C19" s="513"/>
      <c r="D19" s="513"/>
      <c r="E19" s="513"/>
      <c r="F19" s="513"/>
      <c r="G19" s="173">
        <f>SUM(G15:G18)</f>
        <v>39625.25</v>
      </c>
      <c r="H19" s="155"/>
      <c r="I19" s="307"/>
      <c r="J19" s="155"/>
    </row>
    <row r="20" spans="1:10" ht="18" customHeight="1">
      <c r="B20" s="21"/>
      <c r="C20" s="59"/>
      <c r="D20" s="60"/>
    </row>
    <row r="21" spans="1:10" ht="18" hidden="1" customHeight="1">
      <c r="B21" s="63"/>
      <c r="C21" s="63"/>
      <c r="D21" s="63"/>
      <c r="E21" s="63"/>
      <c r="F21" s="64"/>
      <c r="G21" s="62"/>
    </row>
    <row r="22" spans="1:10" ht="18" hidden="1" customHeight="1">
      <c r="B22" s="63"/>
      <c r="C22" s="63"/>
      <c r="D22" s="63"/>
      <c r="E22" s="63"/>
      <c r="F22" s="64"/>
      <c r="G22" s="62"/>
    </row>
    <row r="23" spans="1:10" ht="18" hidden="1" customHeight="1">
      <c r="A23" s="65"/>
      <c r="B23" s="65"/>
      <c r="C23" s="66"/>
      <c r="D23" s="67"/>
      <c r="E23" s="67"/>
      <c r="F23" s="68"/>
    </row>
    <row r="24" spans="1:10" ht="27" customHeight="1">
      <c r="A24" s="514" t="s">
        <v>40</v>
      </c>
      <c r="B24" s="515"/>
      <c r="C24" s="515"/>
      <c r="D24" s="515"/>
      <c r="E24" s="515"/>
      <c r="F24" s="515"/>
      <c r="G24" s="515"/>
    </row>
    <row r="25" spans="1:10" ht="20.25" customHeight="1">
      <c r="A25" s="198"/>
      <c r="B25" s="199"/>
      <c r="C25" s="200"/>
      <c r="D25" s="201"/>
      <c r="E25" s="201"/>
      <c r="F25" s="199"/>
      <c r="G25" s="199"/>
    </row>
    <row r="26" spans="1:10" ht="27" customHeight="1">
      <c r="A26" s="514" t="s">
        <v>41</v>
      </c>
      <c r="B26" s="514"/>
      <c r="C26" s="514"/>
      <c r="D26" s="514"/>
      <c r="E26" s="514"/>
      <c r="F26" s="514"/>
      <c r="G26" s="514"/>
    </row>
    <row r="27" spans="1:10" ht="12.75" customHeight="1">
      <c r="A27" s="52"/>
      <c r="B27" s="52"/>
      <c r="C27" s="70"/>
      <c r="D27" s="69"/>
      <c r="E27" s="69"/>
      <c r="F27" s="52"/>
      <c r="G27" s="52"/>
    </row>
    <row r="28" spans="1:10" s="153" customFormat="1" ht="15.75">
      <c r="A28" s="205" t="s">
        <v>184</v>
      </c>
      <c r="B28" s="206"/>
      <c r="C28" s="207"/>
      <c r="D28" s="207"/>
      <c r="E28" s="208"/>
      <c r="F28" s="208" t="s">
        <v>0</v>
      </c>
      <c r="G28" s="209">
        <f>+G30+G61</f>
        <v>34779.949999999997</v>
      </c>
      <c r="H28" s="178"/>
    </row>
    <row r="29" spans="1:10" s="193" customFormat="1" ht="15.75">
      <c r="A29" s="196"/>
      <c r="C29" s="182"/>
      <c r="D29" s="182"/>
      <c r="E29" s="183"/>
      <c r="F29" s="183"/>
      <c r="G29" s="184"/>
      <c r="H29" s="192"/>
    </row>
    <row r="30" spans="1:10" ht="16.5" customHeight="1">
      <c r="A30" s="197" t="s">
        <v>12</v>
      </c>
      <c r="B30" s="186" t="s">
        <v>11</v>
      </c>
      <c r="C30" s="187"/>
      <c r="D30" s="188"/>
      <c r="E30" s="189"/>
      <c r="F30" s="190" t="s">
        <v>0</v>
      </c>
      <c r="G30" s="191">
        <f>+F41+F50+F59</f>
        <v>31538.5</v>
      </c>
    </row>
    <row r="31" spans="1:10" ht="12.75" customHeight="1">
      <c r="A31" s="77"/>
      <c r="B31" s="78"/>
      <c r="C31" s="73"/>
      <c r="D31" s="74"/>
      <c r="E31" s="74"/>
      <c r="F31" s="73"/>
      <c r="G31" s="73"/>
    </row>
    <row r="32" spans="1:10" ht="12.75" customHeight="1">
      <c r="A32" s="179">
        <v>1.01</v>
      </c>
      <c r="B32" s="80" t="s">
        <v>42</v>
      </c>
      <c r="C32" s="73"/>
      <c r="D32" s="74"/>
      <c r="E32" s="74"/>
      <c r="F32" s="75" t="s">
        <v>0</v>
      </c>
      <c r="G32" s="76">
        <f>+F41+F50+F59</f>
        <v>31538.5</v>
      </c>
    </row>
    <row r="33" spans="1:10" ht="12.75" customHeight="1">
      <c r="A33" s="81"/>
      <c r="B33" s="66"/>
      <c r="C33" s="73"/>
      <c r="D33" s="74"/>
      <c r="E33" s="74"/>
      <c r="F33" s="73"/>
      <c r="G33" s="73"/>
    </row>
    <row r="34" spans="1:10" ht="12.75" customHeight="1">
      <c r="A34" s="52"/>
      <c r="B34" s="80" t="s">
        <v>417</v>
      </c>
      <c r="C34" s="66"/>
      <c r="D34" s="82"/>
      <c r="E34" s="82"/>
      <c r="F34" s="66"/>
      <c r="G34" s="73"/>
    </row>
    <row r="35" spans="1:10" ht="12.75" customHeight="1">
      <c r="A35" s="52"/>
      <c r="B35" s="80"/>
      <c r="C35" s="66"/>
      <c r="D35" s="82"/>
      <c r="E35" s="82"/>
      <c r="F35" s="66"/>
      <c r="G35" s="73"/>
    </row>
    <row r="36" spans="1:10" ht="12.75" customHeight="1">
      <c r="A36" s="81"/>
      <c r="B36" s="83" t="s">
        <v>43</v>
      </c>
      <c r="C36" s="300" t="s">
        <v>44</v>
      </c>
      <c r="D36" s="300" t="s">
        <v>45</v>
      </c>
      <c r="E36" s="300" t="s">
        <v>14</v>
      </c>
      <c r="F36" s="300" t="s">
        <v>4</v>
      </c>
      <c r="G36" s="73"/>
    </row>
    <row r="37" spans="1:10" ht="12.75" customHeight="1">
      <c r="A37" s="52"/>
      <c r="B37" s="86" t="s">
        <v>302</v>
      </c>
      <c r="C37" s="394">
        <v>1</v>
      </c>
      <c r="D37" s="394">
        <v>2</v>
      </c>
      <c r="E37" s="394">
        <v>5200</v>
      </c>
      <c r="F37" s="86">
        <f>+C37*D37*E37</f>
        <v>10400</v>
      </c>
      <c r="I37" s="73"/>
    </row>
    <row r="38" spans="1:10" ht="12.75" customHeight="1">
      <c r="A38" s="52"/>
      <c r="B38" s="86" t="s">
        <v>303</v>
      </c>
      <c r="C38" s="394">
        <v>1</v>
      </c>
      <c r="D38" s="394">
        <v>1.5</v>
      </c>
      <c r="E38" s="394">
        <v>4500</v>
      </c>
      <c r="F38" s="86">
        <f t="shared" ref="F38:F40" si="0">+C38*D38*E38</f>
        <v>6750</v>
      </c>
      <c r="G38" s="73"/>
      <c r="J38" s="397">
        <f>315/E37</f>
        <v>6.0576923076923077E-2</v>
      </c>
    </row>
    <row r="39" spans="1:10" ht="12.75" customHeight="1">
      <c r="A39" s="52"/>
      <c r="B39" s="86" t="s">
        <v>422</v>
      </c>
      <c r="C39" s="394">
        <v>1</v>
      </c>
      <c r="D39" s="394">
        <v>1.5</v>
      </c>
      <c r="E39" s="394">
        <v>2700</v>
      </c>
      <c r="F39" s="86">
        <f t="shared" ref="F39" si="1">+C39*D39*E39</f>
        <v>4050</v>
      </c>
      <c r="G39" s="73"/>
      <c r="J39" s="397">
        <f>315/E38</f>
        <v>7.0000000000000007E-2</v>
      </c>
    </row>
    <row r="40" spans="1:10" ht="12.75" customHeight="1">
      <c r="A40" s="52"/>
      <c r="B40" s="86" t="s">
        <v>271</v>
      </c>
      <c r="C40" s="394">
        <v>1</v>
      </c>
      <c r="D40" s="394">
        <v>1.5</v>
      </c>
      <c r="E40" s="394">
        <v>3800</v>
      </c>
      <c r="F40" s="86">
        <f t="shared" si="0"/>
        <v>5700</v>
      </c>
      <c r="G40" s="73"/>
    </row>
    <row r="41" spans="1:10" ht="12.75" customHeight="1">
      <c r="B41" s="516" t="s">
        <v>3</v>
      </c>
      <c r="C41" s="516"/>
      <c r="D41" s="516"/>
      <c r="E41" s="516"/>
      <c r="F41" s="225">
        <f>SUM(F37:F40)</f>
        <v>26900</v>
      </c>
      <c r="G41" s="66"/>
    </row>
    <row r="42" spans="1:10" ht="12.75" customHeight="1">
      <c r="A42" s="52"/>
      <c r="B42" s="73"/>
      <c r="C42" s="73"/>
      <c r="D42" s="74"/>
      <c r="E42" s="74"/>
      <c r="F42" s="73"/>
      <c r="G42" s="73"/>
    </row>
    <row r="43" spans="1:10" ht="12.75" customHeight="1">
      <c r="A43" s="52"/>
      <c r="B43" s="80" t="s">
        <v>418</v>
      </c>
      <c r="C43" s="66"/>
      <c r="D43" s="82"/>
      <c r="E43" s="82"/>
      <c r="F43" s="66"/>
      <c r="G43" s="73"/>
    </row>
    <row r="44" spans="1:10" ht="12.75" customHeight="1">
      <c r="A44" s="52"/>
      <c r="B44" s="80"/>
      <c r="C44" s="66"/>
      <c r="D44" s="82"/>
      <c r="E44" s="82"/>
      <c r="F44" s="66"/>
      <c r="G44" s="73"/>
    </row>
    <row r="45" spans="1:10" ht="12.75" customHeight="1">
      <c r="A45" s="52"/>
      <c r="B45" s="83" t="s">
        <v>43</v>
      </c>
      <c r="C45" s="393" t="s">
        <v>44</v>
      </c>
      <c r="D45" s="393" t="s">
        <v>45</v>
      </c>
      <c r="E45" s="393" t="s">
        <v>14</v>
      </c>
      <c r="F45" s="393" t="s">
        <v>4</v>
      </c>
      <c r="G45" s="73"/>
    </row>
    <row r="46" spans="1:10" ht="12.75" customHeight="1">
      <c r="A46" s="52"/>
      <c r="B46" s="86" t="s">
        <v>302</v>
      </c>
      <c r="C46" s="394">
        <v>1</v>
      </c>
      <c r="D46" s="394">
        <f>+D37</f>
        <v>2</v>
      </c>
      <c r="E46" s="394">
        <f>+E37*0.13</f>
        <v>676</v>
      </c>
      <c r="F46" s="86">
        <f>+C46*D46*E46</f>
        <v>1352</v>
      </c>
      <c r="G46" s="73"/>
    </row>
    <row r="47" spans="1:10" ht="12.75" customHeight="1">
      <c r="A47" s="52"/>
      <c r="B47" s="86" t="s">
        <v>303</v>
      </c>
      <c r="C47" s="394">
        <v>1</v>
      </c>
      <c r="D47" s="394">
        <f>+D38</f>
        <v>1.5</v>
      </c>
      <c r="E47" s="394">
        <f>+E38*0.13</f>
        <v>585</v>
      </c>
      <c r="F47" s="86">
        <f t="shared" ref="F47:F49" si="2">+C47*D47*E47</f>
        <v>877.5</v>
      </c>
      <c r="G47" s="73"/>
    </row>
    <row r="48" spans="1:10" ht="12.75" customHeight="1">
      <c r="A48" s="52"/>
      <c r="B48" s="86" t="s">
        <v>422</v>
      </c>
      <c r="C48" s="394">
        <v>1</v>
      </c>
      <c r="D48" s="394">
        <f>+D39</f>
        <v>1.5</v>
      </c>
      <c r="E48" s="394">
        <f>+E39*0.13</f>
        <v>351</v>
      </c>
      <c r="F48" s="86">
        <f t="shared" ref="F48" si="3">+C48*D48*E48</f>
        <v>526.5</v>
      </c>
      <c r="G48" s="73"/>
    </row>
    <row r="49" spans="1:7" ht="12.75" customHeight="1">
      <c r="A49" s="52"/>
      <c r="B49" s="86" t="s">
        <v>271</v>
      </c>
      <c r="C49" s="394">
        <v>1</v>
      </c>
      <c r="D49" s="394">
        <f>+D40</f>
        <v>1.5</v>
      </c>
      <c r="E49" s="394">
        <f>+E40*0.13</f>
        <v>494</v>
      </c>
      <c r="F49" s="86">
        <f t="shared" si="2"/>
        <v>741</v>
      </c>
      <c r="G49" s="73"/>
    </row>
    <row r="50" spans="1:7" ht="12.75" customHeight="1">
      <c r="A50" s="52"/>
      <c r="B50" s="516" t="s">
        <v>3</v>
      </c>
      <c r="C50" s="516"/>
      <c r="D50" s="516"/>
      <c r="E50" s="516"/>
      <c r="F50" s="225">
        <f>SUM(F46:F49)</f>
        <v>3497</v>
      </c>
      <c r="G50" s="73"/>
    </row>
    <row r="51" spans="1:7" ht="12.75" customHeight="1">
      <c r="A51" s="52"/>
      <c r="B51" s="73"/>
      <c r="C51" s="73"/>
      <c r="D51" s="74"/>
      <c r="E51" s="74"/>
      <c r="F51" s="73"/>
      <c r="G51" s="73"/>
    </row>
    <row r="52" spans="1:7" ht="12.75" customHeight="1">
      <c r="A52" s="52"/>
      <c r="B52" s="80" t="s">
        <v>419</v>
      </c>
      <c r="C52" s="66"/>
      <c r="D52" s="82"/>
      <c r="E52" s="82"/>
      <c r="F52" s="66"/>
      <c r="G52" s="73"/>
    </row>
    <row r="53" spans="1:7" ht="12.75" customHeight="1">
      <c r="A53" s="52"/>
      <c r="B53" s="80"/>
      <c r="C53" s="66"/>
      <c r="D53" s="82"/>
      <c r="E53" s="82"/>
      <c r="F53" s="66"/>
      <c r="G53" s="73"/>
    </row>
    <row r="54" spans="1:7" ht="12.75" customHeight="1">
      <c r="A54" s="52"/>
      <c r="B54" s="83" t="s">
        <v>43</v>
      </c>
      <c r="C54" s="393" t="s">
        <v>44</v>
      </c>
      <c r="D54" s="393" t="s">
        <v>45</v>
      </c>
      <c r="E54" s="393" t="s">
        <v>14</v>
      </c>
      <c r="F54" s="393" t="s">
        <v>4</v>
      </c>
      <c r="G54" s="73"/>
    </row>
    <row r="55" spans="1:7" ht="12.75" customHeight="1">
      <c r="A55" s="52"/>
      <c r="B55" s="86" t="s">
        <v>302</v>
      </c>
      <c r="C55" s="394">
        <v>1</v>
      </c>
      <c r="D55" s="394">
        <f>+D46</f>
        <v>2</v>
      </c>
      <c r="E55" s="394">
        <v>315</v>
      </c>
      <c r="F55" s="86">
        <f>+C55*D55*E55</f>
        <v>630</v>
      </c>
      <c r="G55" s="73"/>
    </row>
    <row r="56" spans="1:7" ht="12.75" customHeight="1">
      <c r="A56" s="52"/>
      <c r="B56" s="86" t="s">
        <v>303</v>
      </c>
      <c r="C56" s="394">
        <v>1</v>
      </c>
      <c r="D56" s="394">
        <f>+D47</f>
        <v>1.5</v>
      </c>
      <c r="E56" s="394">
        <v>189</v>
      </c>
      <c r="F56" s="86">
        <f t="shared" ref="F56:F58" si="4">+C56*D56*E56</f>
        <v>283.5</v>
      </c>
      <c r="G56" s="73"/>
    </row>
    <row r="57" spans="1:7" ht="12.75" customHeight="1">
      <c r="A57" s="52"/>
      <c r="B57" s="86" t="s">
        <v>422</v>
      </c>
      <c r="C57" s="394">
        <v>1</v>
      </c>
      <c r="D57" s="394">
        <f>+D48</f>
        <v>1.5</v>
      </c>
      <c r="E57" s="394">
        <v>24</v>
      </c>
      <c r="F57" s="86">
        <f t="shared" ref="F57" si="5">+C57*D57*E57</f>
        <v>36</v>
      </c>
      <c r="G57" s="73"/>
    </row>
    <row r="58" spans="1:7" ht="12.75" customHeight="1">
      <c r="A58" s="52"/>
      <c r="B58" s="86" t="s">
        <v>271</v>
      </c>
      <c r="C58" s="394">
        <v>1</v>
      </c>
      <c r="D58" s="394">
        <f>+D49</f>
        <v>1.5</v>
      </c>
      <c r="E58" s="394">
        <v>128</v>
      </c>
      <c r="F58" s="86">
        <f t="shared" si="4"/>
        <v>192</v>
      </c>
      <c r="G58" s="73"/>
    </row>
    <row r="59" spans="1:7" ht="12.75" customHeight="1">
      <c r="A59" s="52"/>
      <c r="B59" s="516" t="s">
        <v>3</v>
      </c>
      <c r="C59" s="516"/>
      <c r="D59" s="516"/>
      <c r="E59" s="516"/>
      <c r="F59" s="225">
        <f>SUM(F55:F58)</f>
        <v>1141.5</v>
      </c>
      <c r="G59" s="73"/>
    </row>
    <row r="60" spans="1:7" ht="12.75" customHeight="1">
      <c r="A60" s="52"/>
      <c r="B60" s="73"/>
      <c r="C60" s="73"/>
      <c r="D60" s="74"/>
      <c r="E60" s="74"/>
      <c r="F60" s="73"/>
      <c r="G60" s="73"/>
    </row>
    <row r="61" spans="1:7" s="308" customFormat="1" ht="12.75" customHeight="1">
      <c r="A61" s="197">
        <v>2</v>
      </c>
      <c r="B61" s="186" t="s">
        <v>19</v>
      </c>
      <c r="C61" s="187"/>
      <c r="D61" s="188"/>
      <c r="E61" s="189"/>
      <c r="F61" s="190" t="s">
        <v>0</v>
      </c>
      <c r="G61" s="191">
        <f>+F70+F79</f>
        <v>3241.45</v>
      </c>
    </row>
    <row r="62" spans="1:7" s="308" customFormat="1">
      <c r="A62" s="77"/>
      <c r="B62" s="78"/>
      <c r="C62" s="73"/>
      <c r="D62" s="74"/>
      <c r="E62" s="74"/>
      <c r="F62" s="73"/>
      <c r="G62" s="73"/>
    </row>
    <row r="63" spans="1:7" s="308" customFormat="1" ht="15.75">
      <c r="A63" s="179">
        <v>2.0099999999999998</v>
      </c>
      <c r="B63" s="80" t="s">
        <v>122</v>
      </c>
      <c r="C63" s="73"/>
      <c r="D63" s="74"/>
      <c r="E63" s="74"/>
      <c r="F63" s="75" t="s">
        <v>0</v>
      </c>
      <c r="G63" s="76">
        <f>+F70</f>
        <v>2421</v>
      </c>
    </row>
    <row r="64" spans="1:7" s="308" customFormat="1">
      <c r="A64" s="79"/>
      <c r="B64" s="80"/>
      <c r="C64" s="73"/>
      <c r="D64" s="74"/>
      <c r="E64" s="74"/>
      <c r="F64" s="73"/>
      <c r="G64" s="73"/>
    </row>
    <row r="65" spans="1:7" s="308" customFormat="1">
      <c r="A65" s="52"/>
      <c r="B65" s="83" t="s">
        <v>43</v>
      </c>
      <c r="C65" s="300" t="s">
        <v>44</v>
      </c>
      <c r="D65" s="300" t="s">
        <v>45</v>
      </c>
      <c r="E65" s="300" t="s">
        <v>14</v>
      </c>
      <c r="F65" s="300" t="s">
        <v>4</v>
      </c>
      <c r="G65" s="73"/>
    </row>
    <row r="66" spans="1:7" s="308" customFormat="1">
      <c r="A66" s="52"/>
      <c r="B66" s="86" t="str">
        <f>B37</f>
        <v>RESIDENTE DE PROYECTO (ING. CIVIL, ARQUITECTO)</v>
      </c>
      <c r="C66" s="394">
        <v>1</v>
      </c>
      <c r="D66" s="394">
        <f>+D37</f>
        <v>2</v>
      </c>
      <c r="E66" s="394">
        <f>+(E37)*0.09</f>
        <v>468</v>
      </c>
      <c r="F66" s="86">
        <f>+C66*D66*E66</f>
        <v>936</v>
      </c>
      <c r="G66" s="73"/>
    </row>
    <row r="67" spans="1:7" ht="12.75" customHeight="1">
      <c r="A67" s="52"/>
      <c r="B67" s="86" t="str">
        <f>B38</f>
        <v>PROFESIONAL PARA REQUERIMIENTO DE EQUIPAMIENTO</v>
      </c>
      <c r="C67" s="394">
        <v>1</v>
      </c>
      <c r="D67" s="394">
        <f>+D38</f>
        <v>1.5</v>
      </c>
      <c r="E67" s="394">
        <f>+(E38)*0.09</f>
        <v>405</v>
      </c>
      <c r="F67" s="86">
        <f t="shared" ref="F67:F69" si="6">+C67*D67*E67</f>
        <v>607.5</v>
      </c>
      <c r="G67" s="73"/>
    </row>
    <row r="68" spans="1:7" ht="12.75" customHeight="1">
      <c r="A68" s="52"/>
      <c r="B68" s="86" t="s">
        <v>422</v>
      </c>
      <c r="C68" s="394">
        <v>1</v>
      </c>
      <c r="D68" s="394">
        <f>+D39</f>
        <v>1.5</v>
      </c>
      <c r="E68" s="394">
        <f t="shared" ref="E68:E69" si="7">+(E39)*0.09</f>
        <v>243</v>
      </c>
      <c r="F68" s="86">
        <f t="shared" si="6"/>
        <v>364.5</v>
      </c>
      <c r="G68" s="73"/>
    </row>
    <row r="69" spans="1:7" ht="12.75" customHeight="1">
      <c r="A69" s="52"/>
      <c r="B69" s="86" t="s">
        <v>271</v>
      </c>
      <c r="C69" s="394">
        <v>1</v>
      </c>
      <c r="D69" s="394">
        <f>+D40</f>
        <v>1.5</v>
      </c>
      <c r="E69" s="394">
        <f t="shared" si="7"/>
        <v>342</v>
      </c>
      <c r="F69" s="86">
        <f t="shared" si="6"/>
        <v>513</v>
      </c>
      <c r="G69" s="73"/>
    </row>
    <row r="70" spans="1:7" ht="12.75" customHeight="1">
      <c r="A70" s="52"/>
      <c r="B70" s="517" t="s">
        <v>3</v>
      </c>
      <c r="C70" s="518"/>
      <c r="D70" s="518"/>
      <c r="E70" s="519"/>
      <c r="F70" s="225">
        <f>SUM(F66:F69)</f>
        <v>2421</v>
      </c>
      <c r="G70" s="73"/>
    </row>
    <row r="71" spans="1:7" ht="12.75" customHeight="1">
      <c r="A71" s="52"/>
      <c r="B71" s="89"/>
      <c r="C71" s="89"/>
      <c r="D71" s="74"/>
      <c r="E71" s="74"/>
      <c r="F71" s="73"/>
      <c r="G71" s="73"/>
    </row>
    <row r="72" spans="1:7" ht="12.75" customHeight="1">
      <c r="A72" s="179">
        <v>2.02</v>
      </c>
      <c r="B72" s="80" t="s">
        <v>420</v>
      </c>
      <c r="C72" s="73"/>
      <c r="D72" s="74"/>
      <c r="E72" s="74"/>
      <c r="F72" s="75" t="s">
        <v>0</v>
      </c>
      <c r="G72" s="76">
        <f>+F79</f>
        <v>820.45</v>
      </c>
    </row>
    <row r="73" spans="1:7" ht="12.75" customHeight="1">
      <c r="A73" s="79"/>
      <c r="B73" s="80"/>
      <c r="C73" s="73"/>
      <c r="D73" s="74"/>
      <c r="E73" s="74"/>
      <c r="F73" s="73"/>
      <c r="G73" s="73"/>
    </row>
    <row r="74" spans="1:7" ht="12.75" customHeight="1">
      <c r="A74" s="52"/>
      <c r="B74" s="83" t="s">
        <v>43</v>
      </c>
      <c r="C74" s="300" t="s">
        <v>44</v>
      </c>
      <c r="D74" s="300" t="s">
        <v>45</v>
      </c>
      <c r="E74" s="300" t="s">
        <v>14</v>
      </c>
      <c r="F74" s="300" t="s">
        <v>4</v>
      </c>
      <c r="G74" s="73"/>
    </row>
    <row r="75" spans="1:7" ht="12.75" customHeight="1">
      <c r="A75" s="52"/>
      <c r="B75" s="86" t="str">
        <f>B37</f>
        <v>RESIDENTE DE PROYECTO (ING. CIVIL, ARQUITECTO)</v>
      </c>
      <c r="C75" s="394">
        <v>1</v>
      </c>
      <c r="D75" s="394">
        <f>+D66</f>
        <v>2</v>
      </c>
      <c r="E75" s="394">
        <f>+(E37)*0.0305</f>
        <v>158.6</v>
      </c>
      <c r="F75" s="86">
        <f>+C75*D75*E75</f>
        <v>317.2</v>
      </c>
      <c r="G75" s="73"/>
    </row>
    <row r="76" spans="1:7" ht="12.75" customHeight="1">
      <c r="A76" s="52"/>
      <c r="B76" s="86" t="str">
        <f>B38</f>
        <v>PROFESIONAL PARA REQUERIMIENTO DE EQUIPAMIENTO</v>
      </c>
      <c r="C76" s="394">
        <v>1</v>
      </c>
      <c r="D76" s="394">
        <f>+D67</f>
        <v>1.5</v>
      </c>
      <c r="E76" s="394">
        <f>+(E38)*0.0305</f>
        <v>137.25</v>
      </c>
      <c r="F76" s="86">
        <f t="shared" ref="F76:F78" si="8">+C76*D76*E76</f>
        <v>205.875</v>
      </c>
      <c r="G76" s="73"/>
    </row>
    <row r="77" spans="1:7" ht="12.75" customHeight="1">
      <c r="A77" s="52"/>
      <c r="B77" s="86" t="s">
        <v>422</v>
      </c>
      <c r="C77" s="394">
        <v>1</v>
      </c>
      <c r="D77" s="394">
        <f>+D68</f>
        <v>1.5</v>
      </c>
      <c r="E77" s="394">
        <f>+(E39)*0.0305</f>
        <v>82.35</v>
      </c>
      <c r="F77" s="86">
        <f t="shared" ref="F77" si="9">+C77*D77*E77</f>
        <v>123.52499999999999</v>
      </c>
      <c r="G77" s="73"/>
    </row>
    <row r="78" spans="1:7" ht="12.75" customHeight="1">
      <c r="A78" s="52"/>
      <c r="B78" s="86" t="s">
        <v>271</v>
      </c>
      <c r="C78" s="394">
        <v>1</v>
      </c>
      <c r="D78" s="394">
        <f>+D40</f>
        <v>1.5</v>
      </c>
      <c r="E78" s="394">
        <f>+(E40)*0.0305</f>
        <v>115.89999999999999</v>
      </c>
      <c r="F78" s="86">
        <f t="shared" si="8"/>
        <v>173.85</v>
      </c>
      <c r="G78" s="73"/>
    </row>
    <row r="79" spans="1:7" ht="12.75" customHeight="1">
      <c r="A79" s="52"/>
      <c r="B79" s="508" t="s">
        <v>3</v>
      </c>
      <c r="C79" s="509"/>
      <c r="D79" s="509"/>
      <c r="E79" s="510"/>
      <c r="F79" s="225">
        <f>SUM(F75:F78)</f>
        <v>820.45</v>
      </c>
      <c r="G79" s="73"/>
    </row>
    <row r="80" spans="1:7" ht="12.75" customHeight="1">
      <c r="A80" s="52"/>
      <c r="B80" s="105"/>
      <c r="C80" s="105"/>
      <c r="D80" s="105"/>
      <c r="E80" s="105"/>
      <c r="F80" s="73"/>
      <c r="G80" s="73"/>
    </row>
    <row r="81" spans="1:8" s="153" customFormat="1" ht="15.75">
      <c r="A81" s="210" t="s">
        <v>185</v>
      </c>
      <c r="B81" s="211"/>
      <c r="C81" s="207"/>
      <c r="D81" s="207"/>
      <c r="E81" s="208"/>
      <c r="F81" s="208" t="s">
        <v>0</v>
      </c>
      <c r="G81" s="209">
        <f>+G83+G111+G105+G92</f>
        <v>4245.3</v>
      </c>
      <c r="H81" s="178"/>
    </row>
    <row r="82" spans="1:8" s="153" customFormat="1" ht="15.75">
      <c r="A82" s="180"/>
      <c r="B82" s="181"/>
      <c r="C82" s="182"/>
      <c r="D82" s="182"/>
      <c r="E82" s="183"/>
      <c r="F82" s="183"/>
      <c r="G82" s="184"/>
      <c r="H82" s="178"/>
    </row>
    <row r="83" spans="1:8" ht="12.75" customHeight="1">
      <c r="A83" s="179">
        <v>1</v>
      </c>
      <c r="B83" s="80" t="s">
        <v>423</v>
      </c>
      <c r="C83" s="73"/>
      <c r="D83" s="74"/>
      <c r="E83" s="74"/>
      <c r="F83" s="75" t="s">
        <v>0</v>
      </c>
      <c r="G83" s="76">
        <f>F90</f>
        <v>330</v>
      </c>
    </row>
    <row r="84" spans="1:8" ht="12.75" customHeight="1">
      <c r="A84" s="79"/>
      <c r="B84" s="80"/>
      <c r="C84" s="73"/>
      <c r="D84" s="73"/>
      <c r="E84" s="74"/>
      <c r="F84" s="73"/>
      <c r="G84" s="73"/>
      <c r="H84" s="160"/>
    </row>
    <row r="85" spans="1:8" ht="12.75" customHeight="1">
      <c r="A85" s="52"/>
      <c r="B85" s="118" t="s">
        <v>23</v>
      </c>
      <c r="C85" s="118" t="s">
        <v>2</v>
      </c>
      <c r="D85" s="118" t="s">
        <v>24</v>
      </c>
      <c r="E85" s="118" t="s">
        <v>5</v>
      </c>
      <c r="F85" s="118" t="s">
        <v>4</v>
      </c>
      <c r="G85" s="105"/>
    </row>
    <row r="86" spans="1:8">
      <c r="A86" s="52"/>
      <c r="B86" s="135" t="s">
        <v>101</v>
      </c>
      <c r="C86" s="309" t="s">
        <v>2</v>
      </c>
      <c r="D86" s="310">
        <v>2</v>
      </c>
      <c r="E86" s="310">
        <v>35</v>
      </c>
      <c r="F86" s="400">
        <f>+D86*E86</f>
        <v>70</v>
      </c>
      <c r="G86" s="91"/>
    </row>
    <row r="87" spans="1:8" s="315" customFormat="1">
      <c r="A87" s="314"/>
      <c r="B87" s="316" t="s">
        <v>291</v>
      </c>
      <c r="C87" s="317" t="s">
        <v>2</v>
      </c>
      <c r="D87" s="317">
        <v>2</v>
      </c>
      <c r="E87" s="317">
        <v>35</v>
      </c>
      <c r="F87" s="401">
        <f>+D87*E87</f>
        <v>70</v>
      </c>
    </row>
    <row r="88" spans="1:8" s="315" customFormat="1">
      <c r="A88" s="314"/>
      <c r="B88" s="316" t="s">
        <v>421</v>
      </c>
      <c r="C88" s="317" t="s">
        <v>2</v>
      </c>
      <c r="D88" s="317">
        <v>4</v>
      </c>
      <c r="E88" s="317">
        <v>35</v>
      </c>
      <c r="F88" s="401">
        <f>+D88*E88</f>
        <v>140</v>
      </c>
    </row>
    <row r="89" spans="1:8" s="315" customFormat="1">
      <c r="A89" s="314"/>
      <c r="B89" s="316" t="s">
        <v>292</v>
      </c>
      <c r="C89" s="317" t="s">
        <v>2</v>
      </c>
      <c r="D89" s="317">
        <v>2</v>
      </c>
      <c r="E89" s="317">
        <v>25</v>
      </c>
      <c r="F89" s="401">
        <f t="shared" ref="F89" si="10">+D89*E89</f>
        <v>50</v>
      </c>
    </row>
    <row r="90" spans="1:8" ht="12.75" customHeight="1">
      <c r="A90" s="52"/>
      <c r="B90" s="511" t="s">
        <v>3</v>
      </c>
      <c r="C90" s="511"/>
      <c r="D90" s="511"/>
      <c r="E90" s="511"/>
      <c r="F90" s="402">
        <f>SUM(F86:F89)</f>
        <v>330</v>
      </c>
      <c r="G90" s="91"/>
    </row>
    <row r="91" spans="1:8" ht="12.75" customHeight="1">
      <c r="A91" s="81"/>
      <c r="B91" s="105"/>
      <c r="C91" s="105"/>
      <c r="D91" s="105"/>
      <c r="E91" s="105"/>
      <c r="F91" s="73"/>
      <c r="G91" s="66"/>
    </row>
    <row r="92" spans="1:8" ht="12.75" customHeight="1">
      <c r="A92" s="179">
        <v>2</v>
      </c>
      <c r="B92" s="80" t="s">
        <v>423</v>
      </c>
      <c r="C92" s="73"/>
      <c r="D92" s="74"/>
      <c r="E92" s="74"/>
      <c r="F92" s="75" t="s">
        <v>0</v>
      </c>
      <c r="G92" s="76">
        <f>F103</f>
        <v>1627.8</v>
      </c>
    </row>
    <row r="93" spans="1:8" ht="12.75" customHeight="1">
      <c r="A93" s="79"/>
      <c r="B93" s="80"/>
      <c r="C93" s="73"/>
      <c r="D93" s="73"/>
      <c r="E93" s="74"/>
      <c r="F93" s="73"/>
      <c r="G93" s="73"/>
    </row>
    <row r="94" spans="1:8" ht="12.75" customHeight="1">
      <c r="A94" s="52"/>
      <c r="B94" s="118" t="s">
        <v>23</v>
      </c>
      <c r="C94" s="118" t="s">
        <v>2</v>
      </c>
      <c r="D94" s="118" t="s">
        <v>24</v>
      </c>
      <c r="E94" s="118" t="s">
        <v>5</v>
      </c>
      <c r="F94" s="118" t="s">
        <v>4</v>
      </c>
      <c r="G94" s="105"/>
    </row>
    <row r="95" spans="1:8" ht="12.75" customHeight="1">
      <c r="A95" s="52"/>
      <c r="B95" s="135" t="s">
        <v>424</v>
      </c>
      <c r="C95" s="394" t="s">
        <v>8</v>
      </c>
      <c r="D95" s="395">
        <v>6</v>
      </c>
      <c r="E95" s="395">
        <v>49.6</v>
      </c>
      <c r="F95" s="400">
        <f>+D95*E95</f>
        <v>297.60000000000002</v>
      </c>
      <c r="G95" s="91"/>
    </row>
    <row r="96" spans="1:8" ht="12.75" customHeight="1">
      <c r="A96" s="314"/>
      <c r="B96" s="316" t="s">
        <v>425</v>
      </c>
      <c r="C96" s="317" t="s">
        <v>2</v>
      </c>
      <c r="D96" s="395">
        <v>6</v>
      </c>
      <c r="E96" s="317">
        <v>60</v>
      </c>
      <c r="F96" s="401">
        <f>+D96*E96</f>
        <v>360</v>
      </c>
      <c r="G96" s="315"/>
    </row>
    <row r="97" spans="1:10" ht="12.75" customHeight="1">
      <c r="A97" s="314"/>
      <c r="B97" s="316" t="s">
        <v>426</v>
      </c>
      <c r="C97" s="317" t="s">
        <v>8</v>
      </c>
      <c r="D97" s="395">
        <v>6</v>
      </c>
      <c r="E97" s="317">
        <v>35</v>
      </c>
      <c r="F97" s="401">
        <f t="shared" ref="F97:F101" si="11">+D97*E97</f>
        <v>210</v>
      </c>
      <c r="G97" s="315"/>
    </row>
    <row r="98" spans="1:10" ht="12.75" customHeight="1">
      <c r="A98" s="314"/>
      <c r="B98" s="316" t="s">
        <v>427</v>
      </c>
      <c r="C98" s="317" t="s">
        <v>2</v>
      </c>
      <c r="D98" s="395">
        <v>6</v>
      </c>
      <c r="E98" s="317">
        <v>9</v>
      </c>
      <c r="F98" s="401">
        <f t="shared" si="11"/>
        <v>54</v>
      </c>
      <c r="G98" s="315"/>
    </row>
    <row r="99" spans="1:10" ht="12.75" customHeight="1">
      <c r="A99" s="314"/>
      <c r="B99" s="316" t="s">
        <v>428</v>
      </c>
      <c r="C99" s="317" t="s">
        <v>2</v>
      </c>
      <c r="D99" s="395">
        <v>6</v>
      </c>
      <c r="E99" s="317">
        <v>18.2</v>
      </c>
      <c r="F99" s="401">
        <f t="shared" si="11"/>
        <v>109.19999999999999</v>
      </c>
      <c r="G99" s="315"/>
    </row>
    <row r="100" spans="1:10" ht="12.75" customHeight="1">
      <c r="A100" s="314"/>
      <c r="B100" s="316" t="s">
        <v>429</v>
      </c>
      <c r="C100" s="317" t="s">
        <v>2</v>
      </c>
      <c r="D100" s="395">
        <v>6</v>
      </c>
      <c r="E100" s="317">
        <v>4.5</v>
      </c>
      <c r="F100" s="401">
        <f t="shared" si="11"/>
        <v>27</v>
      </c>
      <c r="G100" s="315"/>
    </row>
    <row r="101" spans="1:10" s="315" customFormat="1">
      <c r="A101" s="314"/>
      <c r="B101" s="316" t="s">
        <v>421</v>
      </c>
      <c r="C101" s="317" t="s">
        <v>2</v>
      </c>
      <c r="D101" s="395">
        <v>12</v>
      </c>
      <c r="E101" s="317">
        <v>35</v>
      </c>
      <c r="F101" s="401">
        <f t="shared" si="11"/>
        <v>420</v>
      </c>
    </row>
    <row r="102" spans="1:10" ht="12.75" customHeight="1">
      <c r="A102" s="314"/>
      <c r="B102" s="316" t="s">
        <v>292</v>
      </c>
      <c r="C102" s="317" t="s">
        <v>2</v>
      </c>
      <c r="D102" s="395">
        <v>6</v>
      </c>
      <c r="E102" s="317">
        <v>25</v>
      </c>
      <c r="F102" s="401">
        <f t="shared" ref="F102" si="12">+D102*E102</f>
        <v>150</v>
      </c>
      <c r="G102" s="315"/>
    </row>
    <row r="103" spans="1:10" ht="12.75" customHeight="1">
      <c r="A103" s="52"/>
      <c r="B103" s="511" t="s">
        <v>3</v>
      </c>
      <c r="C103" s="511"/>
      <c r="D103" s="511"/>
      <c r="E103" s="511"/>
      <c r="F103" s="402">
        <f>SUM(F95:F102)</f>
        <v>1627.8</v>
      </c>
      <c r="G103" s="91"/>
    </row>
    <row r="104" spans="1:10" ht="12.75" customHeight="1">
      <c r="A104" s="81"/>
      <c r="B104" s="105"/>
      <c r="C104" s="105"/>
      <c r="D104" s="105"/>
      <c r="E104" s="105"/>
      <c r="F104" s="73"/>
      <c r="G104" s="66"/>
    </row>
    <row r="105" spans="1:10" ht="12.75" customHeight="1">
      <c r="A105" s="179">
        <v>3</v>
      </c>
      <c r="B105" s="80" t="s">
        <v>120</v>
      </c>
      <c r="C105" s="73"/>
      <c r="D105" s="74"/>
      <c r="E105" s="74"/>
      <c r="F105" s="75" t="s">
        <v>0</v>
      </c>
      <c r="G105" s="76">
        <f>+F109</f>
        <v>1450</v>
      </c>
    </row>
    <row r="106" spans="1:10" ht="12.75" customHeight="1">
      <c r="A106" s="115"/>
      <c r="B106" s="116"/>
      <c r="C106" s="123"/>
      <c r="D106" s="124"/>
      <c r="E106" s="123"/>
      <c r="F106" s="124"/>
    </row>
    <row r="107" spans="1:10" ht="18" customHeight="1">
      <c r="A107" s="115"/>
      <c r="B107" s="118" t="s">
        <v>23</v>
      </c>
      <c r="C107" s="118" t="s">
        <v>2</v>
      </c>
      <c r="D107" s="118" t="s">
        <v>24</v>
      </c>
      <c r="E107" s="118" t="s">
        <v>5</v>
      </c>
      <c r="F107" s="118" t="s">
        <v>4</v>
      </c>
      <c r="G107" s="161"/>
    </row>
    <row r="108" spans="1:10" ht="13.5" customHeight="1">
      <c r="A108" s="79"/>
      <c r="B108" s="157" t="s">
        <v>139</v>
      </c>
      <c r="C108" s="87" t="s">
        <v>6</v>
      </c>
      <c r="D108" s="158">
        <v>100</v>
      </c>
      <c r="E108" s="87">
        <v>14.5</v>
      </c>
      <c r="F108" s="159">
        <f>E108*D108</f>
        <v>1450</v>
      </c>
      <c r="G108" s="73"/>
      <c r="J108" s="160"/>
    </row>
    <row r="109" spans="1:10" ht="12.75" customHeight="1">
      <c r="A109" s="117"/>
      <c r="B109" s="511" t="s">
        <v>3</v>
      </c>
      <c r="C109" s="511"/>
      <c r="D109" s="511"/>
      <c r="E109" s="511"/>
      <c r="F109" s="399">
        <f>SUM(F108:F108)</f>
        <v>1450</v>
      </c>
    </row>
    <row r="110" spans="1:10" ht="12.75" customHeight="1">
      <c r="A110" s="81"/>
      <c r="B110" s="105"/>
      <c r="C110" s="105"/>
      <c r="D110" s="105"/>
      <c r="E110" s="105"/>
      <c r="F110" s="73"/>
      <c r="G110" s="66"/>
    </row>
    <row r="111" spans="1:10" ht="12.75" customHeight="1">
      <c r="A111" s="185">
        <v>2</v>
      </c>
      <c r="B111" s="186" t="s">
        <v>119</v>
      </c>
      <c r="C111" s="187"/>
      <c r="D111" s="188"/>
      <c r="E111" s="189"/>
      <c r="F111" s="190" t="s">
        <v>0</v>
      </c>
      <c r="G111" s="191">
        <f>+G113</f>
        <v>837.5</v>
      </c>
    </row>
    <row r="112" spans="1:10" ht="12.75" customHeight="1">
      <c r="A112" s="71"/>
      <c r="B112" s="72"/>
      <c r="C112" s="73"/>
      <c r="D112" s="74"/>
      <c r="E112" s="301"/>
      <c r="F112" s="75"/>
      <c r="G112" s="76"/>
    </row>
    <row r="113" spans="1:8" ht="12.75" customHeight="1">
      <c r="A113" s="179">
        <v>2.0099999999999998</v>
      </c>
      <c r="B113" s="80" t="s">
        <v>53</v>
      </c>
      <c r="C113" s="73"/>
      <c r="D113" s="74"/>
      <c r="E113" s="74"/>
      <c r="F113" s="75" t="s">
        <v>0</v>
      </c>
      <c r="G113" s="76">
        <f>+F125</f>
        <v>837.5</v>
      </c>
    </row>
    <row r="114" spans="1:8" ht="12.75" customHeight="1">
      <c r="A114" s="79"/>
      <c r="B114" s="80"/>
      <c r="C114" s="73"/>
      <c r="D114" s="74"/>
      <c r="E114" s="74"/>
      <c r="F114" s="73"/>
      <c r="G114" s="66"/>
    </row>
    <row r="115" spans="1:8" ht="12.75" customHeight="1">
      <c r="A115" s="52"/>
      <c r="B115" s="83" t="s">
        <v>51</v>
      </c>
      <c r="C115" s="300" t="s">
        <v>59</v>
      </c>
      <c r="D115" s="300" t="s">
        <v>24</v>
      </c>
      <c r="E115" s="300" t="s">
        <v>5</v>
      </c>
      <c r="F115" s="300" t="s">
        <v>4</v>
      </c>
      <c r="G115" s="66"/>
    </row>
    <row r="116" spans="1:8">
      <c r="A116" s="52"/>
      <c r="B116" s="135" t="s">
        <v>297</v>
      </c>
      <c r="C116" s="394" t="s">
        <v>2</v>
      </c>
      <c r="D116" s="394">
        <v>2</v>
      </c>
      <c r="E116" s="394">
        <v>280</v>
      </c>
      <c r="F116" s="405">
        <f>+D116*E116</f>
        <v>560</v>
      </c>
      <c r="G116" s="66"/>
    </row>
    <row r="117" spans="1:8" ht="12.75" customHeight="1">
      <c r="A117" s="52"/>
      <c r="B117" s="403" t="s">
        <v>56</v>
      </c>
      <c r="C117" s="395" t="s">
        <v>2</v>
      </c>
      <c r="D117" s="395">
        <v>3</v>
      </c>
      <c r="E117" s="395">
        <v>10</v>
      </c>
      <c r="F117" s="403">
        <f t="shared" ref="F117:F124" si="13">+D117*E117</f>
        <v>30</v>
      </c>
      <c r="G117" s="66"/>
    </row>
    <row r="118" spans="1:8" ht="12.75" customHeight="1">
      <c r="A118" s="52"/>
      <c r="B118" s="403" t="s">
        <v>107</v>
      </c>
      <c r="C118" s="395" t="s">
        <v>2</v>
      </c>
      <c r="D118" s="395">
        <v>5</v>
      </c>
      <c r="E118" s="395">
        <v>1.5</v>
      </c>
      <c r="F118" s="403">
        <f t="shared" si="13"/>
        <v>7.5</v>
      </c>
      <c r="G118" s="66"/>
    </row>
    <row r="119" spans="1:8" ht="12.75" hidden="1" customHeight="1">
      <c r="A119" s="52"/>
      <c r="B119" s="403" t="s">
        <v>287</v>
      </c>
      <c r="C119" s="395" t="s">
        <v>2</v>
      </c>
      <c r="D119" s="395">
        <v>0</v>
      </c>
      <c r="E119" s="395">
        <v>30</v>
      </c>
      <c r="F119" s="403">
        <f t="shared" si="13"/>
        <v>0</v>
      </c>
      <c r="G119" s="66"/>
    </row>
    <row r="120" spans="1:8" ht="12.75" customHeight="1">
      <c r="A120" s="52"/>
      <c r="B120" s="403" t="s">
        <v>99</v>
      </c>
      <c r="C120" s="395" t="s">
        <v>2</v>
      </c>
      <c r="D120" s="395">
        <v>3</v>
      </c>
      <c r="E120" s="395">
        <v>2</v>
      </c>
      <c r="F120" s="403">
        <f t="shared" si="13"/>
        <v>6</v>
      </c>
      <c r="G120" s="66"/>
    </row>
    <row r="121" spans="1:8" ht="12.75" customHeight="1">
      <c r="A121" s="52"/>
      <c r="B121" s="403" t="s">
        <v>304</v>
      </c>
      <c r="C121" s="395" t="s">
        <v>2</v>
      </c>
      <c r="D121" s="395">
        <v>10</v>
      </c>
      <c r="E121" s="395">
        <v>0.5</v>
      </c>
      <c r="F121" s="403">
        <f t="shared" si="13"/>
        <v>5</v>
      </c>
      <c r="G121" s="66"/>
    </row>
    <row r="122" spans="1:8" ht="12.75" customHeight="1">
      <c r="A122" s="52"/>
      <c r="B122" s="403" t="s">
        <v>288</v>
      </c>
      <c r="C122" s="395" t="s">
        <v>289</v>
      </c>
      <c r="D122" s="395">
        <v>1</v>
      </c>
      <c r="E122" s="395">
        <v>10</v>
      </c>
      <c r="F122" s="403">
        <f t="shared" si="13"/>
        <v>10</v>
      </c>
      <c r="G122" s="66"/>
    </row>
    <row r="123" spans="1:8" ht="12.75" customHeight="1">
      <c r="A123" s="52"/>
      <c r="B123" s="403" t="s">
        <v>305</v>
      </c>
      <c r="C123" s="395" t="s">
        <v>306</v>
      </c>
      <c r="D123" s="395">
        <v>6</v>
      </c>
      <c r="E123" s="395">
        <v>24</v>
      </c>
      <c r="F123" s="403">
        <f t="shared" si="13"/>
        <v>144</v>
      </c>
      <c r="G123" s="66"/>
    </row>
    <row r="124" spans="1:8" ht="12.75" customHeight="1">
      <c r="A124" s="52"/>
      <c r="B124" s="403" t="s">
        <v>299</v>
      </c>
      <c r="C124" s="404" t="s">
        <v>2</v>
      </c>
      <c r="D124" s="395">
        <v>3</v>
      </c>
      <c r="E124" s="395">
        <v>25</v>
      </c>
      <c r="F124" s="403">
        <f t="shared" si="13"/>
        <v>75</v>
      </c>
      <c r="G124" s="66"/>
    </row>
    <row r="125" spans="1:8" ht="13.5" customHeight="1">
      <c r="A125" s="81"/>
      <c r="B125" s="511" t="s">
        <v>3</v>
      </c>
      <c r="C125" s="511"/>
      <c r="D125" s="511"/>
      <c r="E125" s="511"/>
      <c r="F125" s="398">
        <f>SUM(F116:F124)</f>
        <v>837.5</v>
      </c>
      <c r="G125" s="66"/>
    </row>
    <row r="126" spans="1:8" ht="13.5" customHeight="1">
      <c r="A126" s="81"/>
      <c r="B126" s="105"/>
      <c r="C126" s="105"/>
      <c r="D126" s="105"/>
      <c r="E126" s="105"/>
      <c r="F126" s="73"/>
      <c r="G126" s="66"/>
    </row>
    <row r="127" spans="1:8" s="153" customFormat="1" ht="15.75">
      <c r="A127" s="210" t="s">
        <v>186</v>
      </c>
      <c r="B127" s="211"/>
      <c r="C127" s="207"/>
      <c r="D127" s="207"/>
      <c r="E127" s="208"/>
      <c r="F127" s="208" t="s">
        <v>0</v>
      </c>
      <c r="G127" s="209">
        <f>+G129+G135</f>
        <v>600</v>
      </c>
      <c r="H127" s="178"/>
    </row>
    <row r="128" spans="1:8" s="193" customFormat="1" ht="15.75">
      <c r="A128" s="180"/>
      <c r="B128" s="181"/>
      <c r="C128" s="182"/>
      <c r="D128" s="182"/>
      <c r="E128" s="183"/>
      <c r="F128" s="183"/>
      <c r="G128" s="184"/>
      <c r="H128" s="192"/>
    </row>
    <row r="129" spans="1:11" ht="15.75">
      <c r="A129" s="179">
        <v>1</v>
      </c>
      <c r="B129" s="80" t="s">
        <v>31</v>
      </c>
      <c r="C129" s="73"/>
      <c r="D129" s="74"/>
      <c r="E129" s="74"/>
      <c r="F129" s="75" t="s">
        <v>0</v>
      </c>
      <c r="G129" s="76">
        <f>+F133</f>
        <v>350</v>
      </c>
    </row>
    <row r="130" spans="1:11">
      <c r="A130" s="79"/>
      <c r="B130" s="80"/>
      <c r="C130" s="73"/>
      <c r="D130" s="74"/>
      <c r="E130" s="74"/>
      <c r="F130" s="73"/>
      <c r="G130" s="66"/>
    </row>
    <row r="131" spans="1:11" ht="14.25" customHeight="1">
      <c r="A131" s="52"/>
      <c r="B131" s="83" t="s">
        <v>51</v>
      </c>
      <c r="C131" s="300" t="s">
        <v>59</v>
      </c>
      <c r="D131" s="300" t="s">
        <v>24</v>
      </c>
      <c r="E131" s="300" t="s">
        <v>5</v>
      </c>
      <c r="F131" s="300" t="s">
        <v>4</v>
      </c>
      <c r="G131" s="66"/>
    </row>
    <row r="132" spans="1:11" ht="12.75" customHeight="1">
      <c r="A132" s="52"/>
      <c r="B132" s="101" t="s">
        <v>296</v>
      </c>
      <c r="C132" s="88" t="s">
        <v>2</v>
      </c>
      <c r="D132" s="88">
        <v>1</v>
      </c>
      <c r="E132" s="88">
        <v>350</v>
      </c>
      <c r="F132" s="100">
        <f>+D132*E132</f>
        <v>350</v>
      </c>
      <c r="G132" s="66"/>
    </row>
    <row r="133" spans="1:11" ht="12.75" customHeight="1">
      <c r="A133" s="81"/>
      <c r="B133" s="511" t="s">
        <v>3</v>
      </c>
      <c r="C133" s="511"/>
      <c r="D133" s="511"/>
      <c r="E133" s="511"/>
      <c r="F133" s="398">
        <f>SUM(F132:F132)</f>
        <v>350</v>
      </c>
      <c r="G133" s="66"/>
    </row>
    <row r="134" spans="1:11" ht="12.75" customHeight="1">
      <c r="A134" s="81"/>
      <c r="B134" s="105"/>
      <c r="C134" s="105"/>
      <c r="D134" s="105"/>
      <c r="E134" s="105"/>
      <c r="F134" s="73"/>
      <c r="G134" s="66"/>
    </row>
    <row r="135" spans="1:11" s="308" customFormat="1" ht="14.85" customHeight="1">
      <c r="A135" s="179">
        <v>2</v>
      </c>
      <c r="B135" s="80" t="s">
        <v>57</v>
      </c>
      <c r="C135" s="73"/>
      <c r="D135" s="74"/>
      <c r="E135" s="74"/>
      <c r="F135" s="75" t="s">
        <v>0</v>
      </c>
      <c r="G135" s="76">
        <f>+F140</f>
        <v>250</v>
      </c>
    </row>
    <row r="136" spans="1:11" ht="12.75" customHeight="1">
      <c r="A136" s="79"/>
      <c r="B136" s="80"/>
      <c r="C136" s="73"/>
      <c r="D136" s="74"/>
      <c r="E136" s="74"/>
      <c r="F136" s="73"/>
      <c r="G136" s="66"/>
    </row>
    <row r="137" spans="1:11" ht="12.75" customHeight="1">
      <c r="A137" s="52"/>
      <c r="B137" s="83" t="s">
        <v>51</v>
      </c>
      <c r="C137" s="300" t="s">
        <v>59</v>
      </c>
      <c r="D137" s="300" t="s">
        <v>24</v>
      </c>
      <c r="E137" s="300" t="s">
        <v>5</v>
      </c>
      <c r="F137" s="300" t="s">
        <v>4</v>
      </c>
      <c r="G137" s="66"/>
    </row>
    <row r="138" spans="1:11" ht="12.75" customHeight="1">
      <c r="A138" s="52"/>
      <c r="B138" s="46" t="s">
        <v>121</v>
      </c>
      <c r="C138" s="92" t="s">
        <v>259</v>
      </c>
      <c r="D138" s="92">
        <v>1</v>
      </c>
      <c r="E138" s="92">
        <v>250</v>
      </c>
      <c r="F138" s="100">
        <f>+D138*E138</f>
        <v>250</v>
      </c>
      <c r="G138" s="66"/>
    </row>
    <row r="139" spans="1:11" ht="12.75" hidden="1" customHeight="1">
      <c r="A139" s="52"/>
      <c r="B139" s="46" t="s">
        <v>121</v>
      </c>
      <c r="C139" s="92" t="s">
        <v>259</v>
      </c>
      <c r="D139" s="92">
        <v>0</v>
      </c>
      <c r="E139" s="92">
        <v>150</v>
      </c>
      <c r="F139" s="100">
        <f>+D139*E139</f>
        <v>0</v>
      </c>
      <c r="G139" s="66"/>
    </row>
    <row r="140" spans="1:11" ht="12.75" customHeight="1">
      <c r="A140" s="52"/>
      <c r="B140" s="511" t="s">
        <v>3</v>
      </c>
      <c r="C140" s="511"/>
      <c r="D140" s="511"/>
      <c r="E140" s="511"/>
      <c r="F140" s="398">
        <f>SUM(F138:F139)</f>
        <v>250</v>
      </c>
      <c r="G140" s="66"/>
    </row>
    <row r="141" spans="1:11" ht="12.75" customHeight="1">
      <c r="A141" s="52"/>
      <c r="B141" s="105"/>
      <c r="C141" s="105"/>
      <c r="D141" s="105"/>
      <c r="E141" s="105"/>
      <c r="F141" s="73"/>
      <c r="G141" s="66"/>
    </row>
    <row r="142" spans="1:11" ht="12.75" customHeight="1">
      <c r="A142" s="81"/>
      <c r="B142" s="105"/>
      <c r="C142" s="105"/>
      <c r="D142" s="105"/>
      <c r="E142" s="105"/>
      <c r="F142" s="73"/>
      <c r="G142" s="66"/>
      <c r="J142" s="160"/>
    </row>
    <row r="143" spans="1:11" ht="12.75" customHeight="1">
      <c r="A143" s="507" t="s">
        <v>39</v>
      </c>
      <c r="B143" s="507"/>
      <c r="C143" s="507"/>
      <c r="D143" s="507"/>
      <c r="E143" s="507"/>
      <c r="F143" s="75" t="s">
        <v>0</v>
      </c>
      <c r="G143" s="76">
        <f>+G19</f>
        <v>39625.25</v>
      </c>
      <c r="J143" s="51">
        <v>33085.730000000003</v>
      </c>
      <c r="K143" s="160">
        <f>+J143-G143</f>
        <v>-6539.5199999999968</v>
      </c>
    </row>
    <row r="144" spans="1:11" ht="12.75" customHeight="1"/>
    <row r="145" spans="7:7" ht="12.75" customHeight="1">
      <c r="G145" s="68"/>
    </row>
    <row r="146" spans="7:7" ht="12.75" customHeight="1">
      <c r="G146" s="76"/>
    </row>
    <row r="147" spans="7:7" ht="12.75" customHeight="1">
      <c r="G147" s="76"/>
    </row>
    <row r="148" spans="7:7" ht="26.25" customHeight="1">
      <c r="G148" s="76"/>
    </row>
    <row r="149" spans="7:7" ht="12.75" customHeight="1">
      <c r="G149" s="76"/>
    </row>
  </sheetData>
  <mergeCells count="20">
    <mergeCell ref="A143:E143"/>
    <mergeCell ref="B79:E79"/>
    <mergeCell ref="B90:E90"/>
    <mergeCell ref="B19:F19"/>
    <mergeCell ref="A24:G24"/>
    <mergeCell ref="A26:G26"/>
    <mergeCell ref="B41:E41"/>
    <mergeCell ref="B70:E70"/>
    <mergeCell ref="B50:E50"/>
    <mergeCell ref="B59:E59"/>
    <mergeCell ref="B109:E109"/>
    <mergeCell ref="B103:E103"/>
    <mergeCell ref="B125:E125"/>
    <mergeCell ref="B133:E133"/>
    <mergeCell ref="B140:E140"/>
    <mergeCell ref="A3:G3"/>
    <mergeCell ref="C8:D8"/>
    <mergeCell ref="C9:D9"/>
    <mergeCell ref="C10:G11"/>
    <mergeCell ref="C14:F14"/>
  </mergeCells>
  <phoneticPr fontId="0" type="noConversion"/>
  <conditionalFormatting sqref="C12:G12">
    <cfRule type="aboveAverage" dxfId="1" priority="2" stopIfTrue="1" aboveAverage="0"/>
  </conditionalFormatting>
  <conditionalFormatting sqref="C10">
    <cfRule type="aboveAverage" dxfId="0" priority="1" stopIfTrue="1" aboveAverage="0"/>
  </conditionalFormatting>
  <printOptions horizontalCentered="1"/>
  <pageMargins left="0.59055118110236227" right="0.19685039370078741" top="1.0629921259842521" bottom="0.98425196850393704" header="0.19685039370078741" footer="0.19685039370078741"/>
  <pageSetup paperSize="9" scale="56" orientation="portrait" horizontalDpi="4294967294" verticalDpi="144" r:id="rId1"/>
  <headerFooter alignWithMargins="0"/>
  <rowBreaks count="1" manualBreakCount="1">
    <brk id="80" max="16383" man="1"/>
  </rowBreaks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180"/>
  <sheetViews>
    <sheetView showGridLines="0" view="pageBreakPreview" zoomScaleSheetLayoutView="100" workbookViewId="0">
      <selection activeCell="E150" sqref="E150"/>
    </sheetView>
  </sheetViews>
  <sheetFormatPr baseColWidth="10" defaultRowHeight="12.75"/>
  <cols>
    <col min="1" max="1" width="10.5703125" style="153" customWidth="1"/>
    <col min="2" max="2" width="41.42578125" style="153" customWidth="1"/>
    <col min="3" max="3" width="17.7109375" style="153" customWidth="1"/>
    <col min="4" max="4" width="16.5703125" style="153" customWidth="1"/>
    <col min="5" max="5" width="17.5703125" style="153" customWidth="1"/>
    <col min="6" max="6" width="14.7109375" style="153" customWidth="1"/>
    <col min="7" max="7" width="18.5703125" style="153" customWidth="1"/>
    <col min="8" max="8" width="5.5703125" style="153" customWidth="1"/>
    <col min="9" max="16384" width="11.42578125" style="153"/>
  </cols>
  <sheetData>
    <row r="1" spans="1:7" ht="20.25">
      <c r="A1" s="520" t="s">
        <v>254</v>
      </c>
      <c r="B1" s="520"/>
      <c r="C1" s="520"/>
      <c r="D1" s="520"/>
      <c r="E1" s="520"/>
      <c r="F1" s="520"/>
      <c r="G1" s="520"/>
    </row>
    <row r="2" spans="1:7">
      <c r="A2" s="53"/>
      <c r="B2" s="53"/>
      <c r="C2" s="53"/>
      <c r="D2" s="53"/>
      <c r="E2" s="54"/>
      <c r="F2" s="53"/>
      <c r="G2" s="53"/>
    </row>
    <row r="3" spans="1:7" ht="15">
      <c r="A3" s="58"/>
      <c r="B3" s="56"/>
      <c r="C3" s="57"/>
      <c r="D3" s="53"/>
      <c r="E3" s="54"/>
      <c r="F3" s="53"/>
      <c r="G3" s="58"/>
    </row>
    <row r="4" spans="1:7">
      <c r="A4" s="58"/>
      <c r="B4" s="245" t="s">
        <v>33</v>
      </c>
      <c r="C4" s="22" t="str">
        <f>Resumen!D8</f>
        <v>:</v>
      </c>
      <c r="D4" s="19"/>
      <c r="E4" s="19"/>
      <c r="F4" s="19"/>
      <c r="G4" s="19"/>
    </row>
    <row r="5" spans="1:7">
      <c r="A5" s="58"/>
      <c r="B5" s="245" t="s">
        <v>60</v>
      </c>
      <c r="C5" s="23" t="e">
        <f>Resumen!#REF!</f>
        <v>#REF!</v>
      </c>
      <c r="D5" s="17"/>
      <c r="E5" s="17"/>
      <c r="F5" s="17"/>
      <c r="G5" s="22" t="s">
        <v>1</v>
      </c>
    </row>
    <row r="6" spans="1:7">
      <c r="A6" s="58"/>
      <c r="B6" s="245" t="s">
        <v>61</v>
      </c>
      <c r="C6" s="22">
        <f>Resumen!D9</f>
        <v>0</v>
      </c>
      <c r="D6" s="17"/>
      <c r="E6" s="17"/>
      <c r="F6" s="17"/>
      <c r="G6" s="22" t="s">
        <v>1</v>
      </c>
    </row>
    <row r="7" spans="1:7">
      <c r="A7" s="58"/>
      <c r="B7" s="245" t="s">
        <v>62</v>
      </c>
      <c r="C7" s="22">
        <f>Resumen!D10</f>
        <v>0</v>
      </c>
      <c r="D7" s="17"/>
      <c r="E7" s="17"/>
      <c r="F7" s="17"/>
      <c r="G7" s="22"/>
    </row>
    <row r="8" spans="1:7">
      <c r="A8" s="58"/>
      <c r="B8" s="245" t="s">
        <v>63</v>
      </c>
      <c r="C8" s="22">
        <f>Resumen!D11</f>
        <v>0</v>
      </c>
      <c r="D8" s="17"/>
      <c r="E8" s="17"/>
      <c r="F8" s="17"/>
      <c r="G8" s="17"/>
    </row>
    <row r="9" spans="1:7" ht="15">
      <c r="A9" s="58"/>
      <c r="B9" s="21" t="s">
        <v>104</v>
      </c>
      <c r="C9" s="521" t="str">
        <f>Resumen!D12</f>
        <v xml:space="preserve"> “ADQUISICIÓN DE TERRENO; EN EL(LA) I.E. LA SALLE - ABANCAY DISTRITO DE ABANCAY, PROVINCIA ABANCAY, DEPARTAMENTO APURÍMAC "</v>
      </c>
      <c r="D9" s="521"/>
      <c r="E9" s="521"/>
      <c r="F9" s="521"/>
      <c r="G9" s="521"/>
    </row>
    <row r="10" spans="1:7" ht="15">
      <c r="A10" s="58"/>
      <c r="B10" s="21"/>
      <c r="C10" s="521"/>
      <c r="D10" s="521"/>
      <c r="E10" s="521"/>
      <c r="F10" s="521"/>
      <c r="G10" s="521"/>
    </row>
    <row r="11" spans="1:7" ht="15">
      <c r="A11" s="58"/>
      <c r="B11" s="21"/>
      <c r="C11" s="22"/>
      <c r="D11" s="53"/>
      <c r="E11" s="61"/>
      <c r="F11" s="58"/>
      <c r="G11" s="58"/>
    </row>
    <row r="12" spans="1:7" ht="15.75" thickBot="1">
      <c r="A12" s="58"/>
      <c r="B12" s="21"/>
      <c r="C12" s="22"/>
      <c r="D12" s="53"/>
      <c r="E12" s="61"/>
      <c r="F12" s="58"/>
      <c r="G12" s="58"/>
    </row>
    <row r="13" spans="1:7" ht="13.5" thickBot="1">
      <c r="A13" s="154"/>
      <c r="B13" s="194" t="s">
        <v>34</v>
      </c>
      <c r="C13" s="506" t="s">
        <v>35</v>
      </c>
      <c r="D13" s="506"/>
      <c r="E13" s="506"/>
      <c r="F13" s="506"/>
      <c r="G13" s="195" t="s">
        <v>269</v>
      </c>
    </row>
    <row r="14" spans="1:7">
      <c r="A14" s="154"/>
      <c r="B14" s="174" t="str">
        <f>Resumen!B15</f>
        <v>2.6.2.2.2.4</v>
      </c>
      <c r="C14" s="175" t="s">
        <v>127</v>
      </c>
      <c r="D14" s="175"/>
      <c r="E14" s="175"/>
      <c r="F14" s="176"/>
      <c r="G14" s="177">
        <f>+G45</f>
        <v>0</v>
      </c>
    </row>
    <row r="15" spans="1:7">
      <c r="A15" s="154"/>
      <c r="B15" s="174" t="str">
        <f>Resumen!B16</f>
        <v>2.6.2.2.2.5</v>
      </c>
      <c r="C15" s="169" t="s">
        <v>128</v>
      </c>
      <c r="D15" s="169"/>
      <c r="E15" s="169"/>
      <c r="F15" s="170"/>
      <c r="G15" s="171">
        <f>+G111</f>
        <v>0</v>
      </c>
    </row>
    <row r="16" spans="1:7">
      <c r="A16" s="154"/>
      <c r="B16" s="174" t="str">
        <f>Resumen!B17</f>
        <v>2.6.2.2.2.6</v>
      </c>
      <c r="C16" s="172" t="s">
        <v>129</v>
      </c>
      <c r="D16" s="172"/>
      <c r="E16" s="172"/>
      <c r="F16" s="170"/>
      <c r="G16" s="171">
        <f>+G165</f>
        <v>0</v>
      </c>
    </row>
    <row r="17" spans="1:11">
      <c r="A17" s="154"/>
      <c r="B17" s="174" t="str">
        <f>Resumen!B18</f>
        <v>2.6.2.2.2.7</v>
      </c>
      <c r="C17" s="169" t="s">
        <v>130</v>
      </c>
      <c r="D17" s="169"/>
      <c r="E17" s="169"/>
      <c r="F17" s="170"/>
      <c r="G17" s="171">
        <f>+G21</f>
        <v>0</v>
      </c>
    </row>
    <row r="18" spans="1:11">
      <c r="A18" s="154"/>
      <c r="B18" s="174" t="str">
        <f>+Resumen!B19</f>
        <v>2.6.8.1.3.1</v>
      </c>
      <c r="C18" s="169" t="str">
        <f>+Resumen!C19</f>
        <v>ELABORACION DE EXPEDIENTE TECNICO</v>
      </c>
      <c r="D18" s="254"/>
      <c r="E18" s="256"/>
      <c r="F18" s="255"/>
      <c r="G18" s="171">
        <f>+G29</f>
        <v>0</v>
      </c>
    </row>
    <row r="19" spans="1:11" ht="13.5" thickBot="1">
      <c r="A19" s="154"/>
      <c r="B19" s="512" t="s">
        <v>256</v>
      </c>
      <c r="C19" s="513"/>
      <c r="D19" s="513"/>
      <c r="E19" s="513"/>
      <c r="F19" s="513"/>
      <c r="G19" s="173">
        <f>SUM(G14:G18)</f>
        <v>0</v>
      </c>
      <c r="J19" s="9"/>
      <c r="K19" s="155"/>
    </row>
    <row r="20" spans="1:11" ht="15.75">
      <c r="A20" s="58"/>
      <c r="B20" s="63"/>
      <c r="C20" s="63"/>
      <c r="D20" s="63"/>
      <c r="E20" s="63"/>
      <c r="F20" s="76"/>
      <c r="G20" s="53"/>
    </row>
    <row r="21" spans="1:11" ht="15.75">
      <c r="A21" s="58"/>
      <c r="B21" s="63"/>
      <c r="C21" s="63"/>
      <c r="D21" s="63"/>
      <c r="E21" s="63"/>
      <c r="F21" s="76"/>
      <c r="G21" s="53"/>
    </row>
    <row r="22" spans="1:11">
      <c r="A22" s="65"/>
      <c r="B22" s="65"/>
      <c r="C22" s="55"/>
      <c r="D22" s="66"/>
      <c r="E22" s="67"/>
      <c r="F22" s="55"/>
      <c r="G22" s="58"/>
    </row>
    <row r="23" spans="1:11" ht="20.25">
      <c r="A23" s="514" t="s">
        <v>40</v>
      </c>
      <c r="B23" s="515"/>
      <c r="C23" s="515"/>
      <c r="D23" s="515"/>
      <c r="E23" s="515"/>
      <c r="F23" s="515"/>
      <c r="G23" s="515"/>
    </row>
    <row r="24" spans="1:11" ht="20.25">
      <c r="A24" s="198"/>
      <c r="B24" s="199"/>
      <c r="C24" s="200"/>
      <c r="D24" s="199"/>
      <c r="E24" s="201"/>
      <c r="F24" s="199"/>
      <c r="G24" s="199"/>
    </row>
    <row r="25" spans="1:11" ht="20.25">
      <c r="A25" s="233">
        <v>1</v>
      </c>
      <c r="B25" s="232" t="s">
        <v>255</v>
      </c>
      <c r="C25" s="232"/>
      <c r="D25" s="230"/>
      <c r="E25" s="230"/>
      <c r="F25" s="230"/>
      <c r="G25" s="230"/>
    </row>
    <row r="26" spans="1:11">
      <c r="A26" s="107"/>
      <c r="B26" s="107"/>
      <c r="C26" s="108"/>
      <c r="D26" s="109"/>
      <c r="E26" s="110"/>
      <c r="F26" s="107"/>
      <c r="G26" s="107"/>
    </row>
    <row r="27" spans="1:11">
      <c r="A27" s="52"/>
      <c r="B27" s="73"/>
      <c r="C27" s="73"/>
      <c r="D27" s="73"/>
      <c r="E27" s="74"/>
      <c r="F27" s="73"/>
      <c r="G27" s="73"/>
    </row>
    <row r="28" spans="1:11">
      <c r="A28" s="52"/>
      <c r="B28" s="105"/>
      <c r="C28" s="105"/>
      <c r="D28" s="105"/>
      <c r="E28" s="105"/>
      <c r="F28" s="73"/>
      <c r="G28" s="66"/>
    </row>
    <row r="29" spans="1:11" ht="15.75">
      <c r="A29" s="210" t="s">
        <v>266</v>
      </c>
      <c r="B29" s="211"/>
      <c r="C29" s="207"/>
      <c r="D29" s="207"/>
      <c r="E29" s="208"/>
      <c r="F29" s="208" t="s">
        <v>0</v>
      </c>
      <c r="G29" s="209">
        <f>+G32</f>
        <v>0</v>
      </c>
    </row>
    <row r="30" spans="1:11" ht="15.75">
      <c r="A30" s="111"/>
      <c r="B30" s="132"/>
      <c r="C30" s="130"/>
      <c r="D30" s="130"/>
      <c r="E30" s="129"/>
      <c r="F30" s="113"/>
      <c r="G30" s="114"/>
    </row>
    <row r="31" spans="1:11">
      <c r="A31" s="117"/>
      <c r="B31" s="69"/>
      <c r="C31" s="69"/>
      <c r="D31" s="69"/>
      <c r="E31" s="69"/>
      <c r="F31" s="131"/>
      <c r="G31" s="58"/>
    </row>
    <row r="32" spans="1:11" ht="15.75">
      <c r="A32" s="111"/>
      <c r="B32" s="80" t="s">
        <v>118</v>
      </c>
      <c r="C32" s="130"/>
      <c r="D32" s="130"/>
      <c r="E32" s="129"/>
      <c r="F32" s="113" t="s">
        <v>0</v>
      </c>
      <c r="G32" s="114">
        <f>F38</f>
        <v>0</v>
      </c>
    </row>
    <row r="33" spans="1:9" ht="15.75">
      <c r="A33" s="111"/>
      <c r="B33" s="132"/>
      <c r="C33" s="130"/>
      <c r="D33" s="130"/>
      <c r="E33" s="129"/>
      <c r="F33" s="113"/>
      <c r="G33" s="114"/>
    </row>
    <row r="34" spans="1:9" ht="15.75">
      <c r="A34" s="90" t="s">
        <v>12</v>
      </c>
      <c r="B34" s="80" t="s">
        <v>31</v>
      </c>
      <c r="C34" s="73"/>
      <c r="D34" s="73"/>
      <c r="E34" s="74"/>
      <c r="F34" s="73"/>
      <c r="G34" s="114"/>
    </row>
    <row r="35" spans="1:9" ht="15.75">
      <c r="A35" s="111"/>
      <c r="B35" s="80"/>
      <c r="C35" s="73"/>
      <c r="D35" s="73"/>
      <c r="E35" s="74"/>
      <c r="F35" s="73"/>
      <c r="G35" s="114"/>
    </row>
    <row r="36" spans="1:9" ht="15.75">
      <c r="A36" s="111"/>
      <c r="B36" s="83" t="s">
        <v>51</v>
      </c>
      <c r="C36" s="84" t="s">
        <v>59</v>
      </c>
      <c r="D36" s="84" t="s">
        <v>24</v>
      </c>
      <c r="E36" s="84" t="s">
        <v>5</v>
      </c>
      <c r="F36" s="84" t="s">
        <v>4</v>
      </c>
      <c r="G36" s="114"/>
    </row>
    <row r="37" spans="1:9" ht="15.75">
      <c r="A37" s="111"/>
      <c r="B37" s="43" t="s">
        <v>264</v>
      </c>
      <c r="C37" s="44" t="s">
        <v>9</v>
      </c>
      <c r="D37" s="44">
        <v>0</v>
      </c>
      <c r="E37" s="44">
        <v>12000</v>
      </c>
      <c r="F37" s="94">
        <f>+D37*E37</f>
        <v>0</v>
      </c>
      <c r="G37" s="114"/>
    </row>
    <row r="38" spans="1:9" ht="15.75">
      <c r="A38" s="111"/>
      <c r="B38" s="508" t="s">
        <v>3</v>
      </c>
      <c r="C38" s="509"/>
      <c r="D38" s="509"/>
      <c r="E38" s="510"/>
      <c r="F38" s="225">
        <f>SUM(F37:F37)</f>
        <v>0</v>
      </c>
      <c r="G38" s="114"/>
    </row>
    <row r="39" spans="1:9">
      <c r="A39" s="117"/>
      <c r="B39" s="69"/>
      <c r="C39" s="69"/>
      <c r="D39" s="69"/>
      <c r="E39" s="69"/>
      <c r="F39" s="131"/>
      <c r="G39" s="58"/>
    </row>
    <row r="40" spans="1:9">
      <c r="A40" s="81"/>
      <c r="B40" s="105"/>
      <c r="C40" s="105"/>
      <c r="D40" s="105"/>
      <c r="E40" s="105"/>
      <c r="F40" s="58"/>
      <c r="G40" s="66"/>
    </row>
    <row r="41" spans="1:9" ht="15.75">
      <c r="A41" s="523" t="s">
        <v>255</v>
      </c>
      <c r="B41" s="523"/>
      <c r="C41" s="523"/>
      <c r="D41" s="523"/>
      <c r="E41" s="523"/>
      <c r="F41" s="75" t="s">
        <v>0</v>
      </c>
      <c r="G41" s="139">
        <f>++G29</f>
        <v>0</v>
      </c>
    </row>
    <row r="43" spans="1:9" ht="20.25">
      <c r="A43" s="233">
        <v>2</v>
      </c>
      <c r="B43" s="232" t="s">
        <v>257</v>
      </c>
      <c r="C43" s="232"/>
      <c r="D43" s="230"/>
      <c r="E43" s="230"/>
      <c r="F43" s="230"/>
      <c r="G43" s="230"/>
      <c r="I43" s="155"/>
    </row>
    <row r="44" spans="1:9">
      <c r="A44" s="107"/>
      <c r="B44" s="107"/>
      <c r="C44" s="108"/>
      <c r="D44" s="109"/>
      <c r="E44" s="110"/>
      <c r="F44" s="107"/>
      <c r="G44" s="107"/>
      <c r="I44" s="155"/>
    </row>
    <row r="45" spans="1:9" ht="15.75">
      <c r="A45" s="205" t="s">
        <v>184</v>
      </c>
      <c r="B45" s="206"/>
      <c r="C45" s="207"/>
      <c r="D45" s="207"/>
      <c r="E45" s="208"/>
      <c r="F45" s="208" t="s">
        <v>0</v>
      </c>
      <c r="G45" s="209">
        <f>+G47+G59+G80+G100</f>
        <v>0</v>
      </c>
    </row>
    <row r="46" spans="1:9" ht="15.75">
      <c r="A46" s="196"/>
      <c r="B46" s="193"/>
      <c r="C46" s="182"/>
      <c r="D46" s="182"/>
      <c r="E46" s="183"/>
      <c r="F46" s="183"/>
      <c r="G46" s="184"/>
    </row>
    <row r="47" spans="1:9" ht="15.75">
      <c r="A47" s="185"/>
      <c r="B47" s="186" t="s">
        <v>11</v>
      </c>
      <c r="C47" s="187"/>
      <c r="D47" s="187"/>
      <c r="E47" s="189"/>
      <c r="F47" s="190" t="s">
        <v>0</v>
      </c>
      <c r="G47" s="191">
        <f>+F56</f>
        <v>0</v>
      </c>
    </row>
    <row r="48" spans="1:9">
      <c r="A48" s="77"/>
      <c r="B48" s="78"/>
      <c r="C48" s="73"/>
      <c r="D48" s="73"/>
      <c r="E48" s="74"/>
      <c r="F48" s="73"/>
      <c r="G48" s="73"/>
    </row>
    <row r="49" spans="1:7">
      <c r="A49" s="79" t="s">
        <v>12</v>
      </c>
      <c r="B49" s="80" t="s">
        <v>13</v>
      </c>
      <c r="C49" s="73"/>
      <c r="D49" s="73"/>
      <c r="E49" s="74"/>
      <c r="F49" s="73"/>
      <c r="G49" s="73"/>
    </row>
    <row r="50" spans="1:7">
      <c r="A50" s="81"/>
      <c r="B50" s="66"/>
      <c r="C50" s="73"/>
      <c r="D50" s="73"/>
      <c r="E50" s="74"/>
      <c r="F50" s="73"/>
      <c r="G50" s="73"/>
    </row>
    <row r="51" spans="1:7">
      <c r="A51" s="52"/>
      <c r="B51" s="80" t="s">
        <v>42</v>
      </c>
      <c r="C51" s="66"/>
      <c r="D51" s="66"/>
      <c r="E51" s="82"/>
      <c r="F51" s="66"/>
      <c r="G51" s="73"/>
    </row>
    <row r="52" spans="1:7">
      <c r="A52" s="52"/>
      <c r="B52" s="80"/>
      <c r="C52" s="66"/>
      <c r="D52" s="66"/>
      <c r="E52" s="82"/>
      <c r="F52" s="66"/>
      <c r="G52" s="73"/>
    </row>
    <row r="53" spans="1:7">
      <c r="A53" s="81"/>
      <c r="B53" s="83" t="s">
        <v>43</v>
      </c>
      <c r="C53" s="84" t="s">
        <v>44</v>
      </c>
      <c r="D53" s="84" t="s">
        <v>45</v>
      </c>
      <c r="E53" s="84" t="s">
        <v>14</v>
      </c>
      <c r="F53" s="84" t="s">
        <v>4</v>
      </c>
      <c r="G53" s="73"/>
    </row>
    <row r="54" spans="1:7">
      <c r="A54" s="81"/>
      <c r="B54" s="104" t="s">
        <v>241</v>
      </c>
      <c r="C54" s="87">
        <v>0</v>
      </c>
      <c r="D54" s="87">
        <v>1</v>
      </c>
      <c r="E54" s="87">
        <f>133.33*30</f>
        <v>3999.9000000000005</v>
      </c>
      <c r="F54" s="85">
        <f>+C54*D54*E54</f>
        <v>0</v>
      </c>
      <c r="G54" s="73"/>
    </row>
    <row r="55" spans="1:7">
      <c r="A55" s="52"/>
      <c r="B55" s="85" t="s">
        <v>240</v>
      </c>
      <c r="C55" s="88">
        <v>0</v>
      </c>
      <c r="D55" s="88"/>
      <c r="E55" s="88">
        <f>40*30</f>
        <v>1200</v>
      </c>
      <c r="F55" s="85">
        <f>+C55*D55*E55</f>
        <v>0</v>
      </c>
      <c r="G55" s="73"/>
    </row>
    <row r="56" spans="1:7">
      <c r="A56" s="55"/>
      <c r="B56" s="516" t="s">
        <v>3</v>
      </c>
      <c r="C56" s="516"/>
      <c r="D56" s="516"/>
      <c r="E56" s="516"/>
      <c r="F56" s="225">
        <f>SUM(F54:F55)</f>
        <v>0</v>
      </c>
      <c r="G56" s="66"/>
    </row>
    <row r="57" spans="1:7">
      <c r="A57" s="52"/>
      <c r="B57" s="73"/>
      <c r="C57" s="73"/>
      <c r="D57" s="73"/>
      <c r="E57" s="74"/>
      <c r="F57" s="73"/>
      <c r="G57" s="73"/>
    </row>
    <row r="58" spans="1:7">
      <c r="A58" s="52"/>
      <c r="B58" s="73"/>
      <c r="C58" s="73"/>
      <c r="D58" s="73"/>
      <c r="E58" s="74"/>
      <c r="F58" s="73"/>
      <c r="G58" s="73"/>
    </row>
    <row r="59" spans="1:7" ht="15.75">
      <c r="A59" s="185"/>
      <c r="B59" s="186" t="s">
        <v>19</v>
      </c>
      <c r="C59" s="187"/>
      <c r="D59" s="187"/>
      <c r="E59" s="189"/>
      <c r="F59" s="190" t="s">
        <v>0</v>
      </c>
      <c r="G59" s="191">
        <f>+F68+F78</f>
        <v>0</v>
      </c>
    </row>
    <row r="60" spans="1:7">
      <c r="A60" s="77"/>
      <c r="B60" s="78"/>
      <c r="C60" s="73"/>
      <c r="D60" s="73"/>
      <c r="E60" s="74"/>
      <c r="F60" s="73"/>
      <c r="G60" s="73"/>
    </row>
    <row r="61" spans="1:7">
      <c r="A61" s="79" t="s">
        <v>12</v>
      </c>
      <c r="B61" s="80" t="s">
        <v>122</v>
      </c>
      <c r="C61" s="73"/>
      <c r="D61" s="73"/>
      <c r="E61" s="74"/>
      <c r="F61" s="73"/>
      <c r="G61" s="73"/>
    </row>
    <row r="62" spans="1:7">
      <c r="A62" s="79"/>
      <c r="B62" s="80"/>
      <c r="C62" s="73"/>
      <c r="D62" s="73"/>
      <c r="E62" s="74"/>
      <c r="F62" s="73"/>
      <c r="G62" s="73"/>
    </row>
    <row r="63" spans="1:7">
      <c r="A63" s="81"/>
      <c r="B63" s="80" t="s">
        <v>42</v>
      </c>
      <c r="C63" s="66"/>
      <c r="D63" s="66"/>
      <c r="E63" s="82"/>
      <c r="F63" s="73"/>
      <c r="G63" s="73"/>
    </row>
    <row r="64" spans="1:7">
      <c r="A64" s="81"/>
      <c r="B64" s="80"/>
      <c r="C64" s="66"/>
      <c r="D64" s="66"/>
      <c r="E64" s="82"/>
      <c r="F64" s="73"/>
      <c r="G64" s="73"/>
    </row>
    <row r="65" spans="1:7">
      <c r="A65" s="52"/>
      <c r="B65" s="83" t="s">
        <v>43</v>
      </c>
      <c r="C65" s="84" t="s">
        <v>44</v>
      </c>
      <c r="D65" s="84" t="s">
        <v>45</v>
      </c>
      <c r="E65" s="84" t="s">
        <v>14</v>
      </c>
      <c r="F65" s="84" t="s">
        <v>4</v>
      </c>
      <c r="G65" s="73"/>
    </row>
    <row r="66" spans="1:7">
      <c r="A66" s="52"/>
      <c r="B66" s="104" t="str">
        <f t="shared" ref="B66:D67" si="0">+B54</f>
        <v>INSPECTOR DE OBRA 2</v>
      </c>
      <c r="C66" s="87">
        <f t="shared" si="0"/>
        <v>0</v>
      </c>
      <c r="D66" s="87">
        <f t="shared" si="0"/>
        <v>1</v>
      </c>
      <c r="E66" s="87">
        <f>+E54*0.09</f>
        <v>359.99100000000004</v>
      </c>
      <c r="F66" s="104">
        <f>+C66*D66*E66</f>
        <v>0</v>
      </c>
      <c r="G66" s="73"/>
    </row>
    <row r="67" spans="1:7">
      <c r="A67" s="52"/>
      <c r="B67" s="104" t="str">
        <f t="shared" si="0"/>
        <v>ASISTENTE ADMINISTRATIVO 2</v>
      </c>
      <c r="C67" s="87">
        <f t="shared" si="0"/>
        <v>0</v>
      </c>
      <c r="D67" s="87">
        <f t="shared" si="0"/>
        <v>0</v>
      </c>
      <c r="E67" s="87">
        <f>+E55*0.09</f>
        <v>108</v>
      </c>
      <c r="F67" s="104">
        <f>+C67*D67*E67</f>
        <v>0</v>
      </c>
      <c r="G67" s="73"/>
    </row>
    <row r="68" spans="1:7">
      <c r="A68" s="52"/>
      <c r="B68" s="524" t="s">
        <v>3</v>
      </c>
      <c r="C68" s="524"/>
      <c r="D68" s="524"/>
      <c r="E68" s="524"/>
      <c r="F68" s="225">
        <f>SUM(F66:F67)</f>
        <v>0</v>
      </c>
      <c r="G68" s="73"/>
    </row>
    <row r="69" spans="1:7">
      <c r="A69" s="52"/>
      <c r="B69" s="89"/>
      <c r="C69" s="89"/>
      <c r="D69" s="89"/>
      <c r="E69" s="74"/>
      <c r="F69" s="73"/>
      <c r="G69" s="73"/>
    </row>
    <row r="70" spans="1:7">
      <c r="A70" s="52"/>
      <c r="B70" s="89"/>
      <c r="C70" s="73"/>
      <c r="D70" s="89"/>
      <c r="E70" s="74"/>
      <c r="F70" s="73"/>
      <c r="G70" s="73"/>
    </row>
    <row r="71" spans="1:7">
      <c r="A71" s="90" t="s">
        <v>15</v>
      </c>
      <c r="B71" s="80" t="s">
        <v>79</v>
      </c>
      <c r="C71" s="73"/>
      <c r="D71" s="73"/>
      <c r="E71" s="74"/>
      <c r="F71" s="73"/>
      <c r="G71" s="73"/>
    </row>
    <row r="72" spans="1:7">
      <c r="A72" s="79"/>
      <c r="B72" s="80"/>
      <c r="C72" s="73"/>
      <c r="D72" s="73"/>
      <c r="E72" s="74"/>
      <c r="F72" s="73"/>
      <c r="G72" s="73"/>
    </row>
    <row r="73" spans="1:7">
      <c r="A73" s="52"/>
      <c r="B73" s="80" t="s">
        <v>42</v>
      </c>
      <c r="C73" s="66"/>
      <c r="D73" s="66"/>
      <c r="E73" s="82"/>
      <c r="F73" s="73"/>
      <c r="G73" s="73"/>
    </row>
    <row r="74" spans="1:7">
      <c r="A74" s="52"/>
      <c r="B74" s="80"/>
      <c r="C74" s="66"/>
      <c r="D74" s="66"/>
      <c r="E74" s="82"/>
      <c r="F74" s="73"/>
      <c r="G74" s="73"/>
    </row>
    <row r="75" spans="1:7">
      <c r="A75" s="52"/>
      <c r="B75" s="83" t="s">
        <v>43</v>
      </c>
      <c r="C75" s="84" t="s">
        <v>44</v>
      </c>
      <c r="D75" s="84" t="s">
        <v>45</v>
      </c>
      <c r="E75" s="84" t="s">
        <v>14</v>
      </c>
      <c r="F75" s="84" t="s">
        <v>4</v>
      </c>
      <c r="G75" s="73"/>
    </row>
    <row r="76" spans="1:7">
      <c r="A76" s="52"/>
      <c r="B76" s="104" t="str">
        <f t="shared" ref="B76:D77" si="1">+B54</f>
        <v>INSPECTOR DE OBRA 2</v>
      </c>
      <c r="C76" s="87">
        <f t="shared" si="1"/>
        <v>0</v>
      </c>
      <c r="D76" s="87">
        <f t="shared" si="1"/>
        <v>1</v>
      </c>
      <c r="E76" s="87">
        <f>+E54*0.0155</f>
        <v>61.998450000000005</v>
      </c>
      <c r="F76" s="104">
        <f>+C76*D76*E76</f>
        <v>0</v>
      </c>
      <c r="G76" s="73"/>
    </row>
    <row r="77" spans="1:7">
      <c r="A77" s="52"/>
      <c r="B77" s="104" t="str">
        <f t="shared" si="1"/>
        <v>ASISTENTE ADMINISTRATIVO 2</v>
      </c>
      <c r="C77" s="87">
        <f t="shared" si="1"/>
        <v>0</v>
      </c>
      <c r="D77" s="87">
        <f t="shared" si="1"/>
        <v>0</v>
      </c>
      <c r="E77" s="87">
        <f>+E55*0.0155</f>
        <v>18.600000000000001</v>
      </c>
      <c r="F77" s="104">
        <f>+C77*D77*E77</f>
        <v>0</v>
      </c>
      <c r="G77" s="73"/>
    </row>
    <row r="78" spans="1:7">
      <c r="A78" s="52"/>
      <c r="B78" s="511" t="s">
        <v>3</v>
      </c>
      <c r="C78" s="511"/>
      <c r="D78" s="511"/>
      <c r="E78" s="511"/>
      <c r="F78" s="225">
        <f>SUM(F76:F77)</f>
        <v>0</v>
      </c>
      <c r="G78" s="73"/>
    </row>
    <row r="79" spans="1:7">
      <c r="A79" s="52"/>
      <c r="B79" s="89"/>
      <c r="C79" s="73"/>
      <c r="D79" s="89"/>
      <c r="E79" s="74"/>
      <c r="F79" s="73"/>
      <c r="G79" s="73"/>
    </row>
    <row r="80" spans="1:7" ht="15.75">
      <c r="A80" s="185"/>
      <c r="B80" s="186" t="s">
        <v>21</v>
      </c>
      <c r="C80" s="187"/>
      <c r="D80" s="187"/>
      <c r="E80" s="189"/>
      <c r="F80" s="190" t="s">
        <v>0</v>
      </c>
      <c r="G80" s="191">
        <f>+F89+F98</f>
        <v>0</v>
      </c>
    </row>
    <row r="81" spans="1:7">
      <c r="A81" s="79"/>
      <c r="B81" s="80"/>
      <c r="C81" s="73"/>
      <c r="D81" s="73"/>
      <c r="E81" s="74"/>
      <c r="F81" s="73"/>
      <c r="G81" s="73"/>
    </row>
    <row r="82" spans="1:7">
      <c r="A82" s="90" t="s">
        <v>12</v>
      </c>
      <c r="B82" s="80" t="s">
        <v>125</v>
      </c>
      <c r="C82" s="73"/>
      <c r="D82" s="73"/>
      <c r="E82" s="74"/>
      <c r="F82" s="73"/>
      <c r="G82" s="73"/>
    </row>
    <row r="83" spans="1:7">
      <c r="A83" s="81"/>
      <c r="B83" s="91"/>
      <c r="C83" s="73"/>
      <c r="D83" s="73"/>
      <c r="E83" s="74"/>
      <c r="F83" s="73"/>
      <c r="G83" s="73"/>
    </row>
    <row r="84" spans="1:7">
      <c r="A84" s="52"/>
      <c r="B84" s="80" t="s">
        <v>42</v>
      </c>
      <c r="C84" s="66"/>
      <c r="D84" s="66"/>
      <c r="E84" s="82"/>
      <c r="F84" s="66"/>
      <c r="G84" s="73"/>
    </row>
    <row r="85" spans="1:7">
      <c r="A85" s="52"/>
      <c r="B85" s="80"/>
      <c r="C85" s="66"/>
      <c r="D85" s="66"/>
      <c r="E85" s="82"/>
      <c r="F85" s="66"/>
      <c r="G85" s="73"/>
    </row>
    <row r="86" spans="1:7">
      <c r="A86" s="52"/>
      <c r="B86" s="83" t="s">
        <v>43</v>
      </c>
      <c r="C86" s="84" t="s">
        <v>44</v>
      </c>
      <c r="D86" s="84" t="s">
        <v>45</v>
      </c>
      <c r="E86" s="84" t="s">
        <v>14</v>
      </c>
      <c r="F86" s="84" t="s">
        <v>4</v>
      </c>
      <c r="G86" s="73"/>
    </row>
    <row r="87" spans="1:7">
      <c r="A87" s="52"/>
      <c r="B87" s="104" t="str">
        <f t="shared" ref="B87:D88" si="2">+B54</f>
        <v>INSPECTOR DE OBRA 2</v>
      </c>
      <c r="C87" s="87">
        <f t="shared" si="2"/>
        <v>0</v>
      </c>
      <c r="D87" s="87">
        <f t="shared" si="2"/>
        <v>1</v>
      </c>
      <c r="E87" s="87">
        <f>+E54/12</f>
        <v>333.32500000000005</v>
      </c>
      <c r="F87" s="104">
        <f>+C87*D87*E87</f>
        <v>0</v>
      </c>
      <c r="G87" s="73"/>
    </row>
    <row r="88" spans="1:7">
      <c r="A88" s="55"/>
      <c r="B88" s="104" t="str">
        <f t="shared" si="2"/>
        <v>ASISTENTE ADMINISTRATIVO 2</v>
      </c>
      <c r="C88" s="87">
        <f t="shared" si="2"/>
        <v>0</v>
      </c>
      <c r="D88" s="87">
        <f t="shared" si="2"/>
        <v>0</v>
      </c>
      <c r="E88" s="87">
        <f>+E55/12</f>
        <v>100</v>
      </c>
      <c r="F88" s="104">
        <f>+C88*D88*E88</f>
        <v>0</v>
      </c>
      <c r="G88" s="73"/>
    </row>
    <row r="89" spans="1:7">
      <c r="A89" s="52"/>
      <c r="B89" s="522" t="s">
        <v>3</v>
      </c>
      <c r="C89" s="522"/>
      <c r="D89" s="522"/>
      <c r="E89" s="522"/>
      <c r="F89" s="225">
        <f>SUM(F87:F88)</f>
        <v>0</v>
      </c>
      <c r="G89" s="73"/>
    </row>
    <row r="90" spans="1:7">
      <c r="A90" s="79"/>
      <c r="B90" s="80"/>
      <c r="C90" s="73"/>
      <c r="D90" s="73"/>
      <c r="E90" s="74"/>
      <c r="F90" s="73"/>
      <c r="G90" s="73"/>
    </row>
    <row r="91" spans="1:7">
      <c r="A91" s="90" t="s">
        <v>15</v>
      </c>
      <c r="B91" s="80" t="s">
        <v>124</v>
      </c>
      <c r="C91" s="73"/>
      <c r="D91" s="73"/>
      <c r="E91" s="74"/>
      <c r="F91" s="73"/>
      <c r="G91" s="73"/>
    </row>
    <row r="92" spans="1:7">
      <c r="A92" s="81"/>
      <c r="B92" s="91"/>
      <c r="C92" s="73"/>
      <c r="D92" s="73"/>
      <c r="E92" s="74"/>
      <c r="F92" s="73"/>
      <c r="G92" s="73"/>
    </row>
    <row r="93" spans="1:7">
      <c r="A93" s="52"/>
      <c r="B93" s="80" t="s">
        <v>42</v>
      </c>
      <c r="C93" s="66"/>
      <c r="D93" s="66"/>
      <c r="E93" s="82"/>
      <c r="F93" s="66"/>
      <c r="G93" s="73"/>
    </row>
    <row r="94" spans="1:7">
      <c r="A94" s="52"/>
      <c r="B94" s="80"/>
      <c r="C94" s="66"/>
      <c r="D94" s="66"/>
      <c r="E94" s="82"/>
      <c r="F94" s="66"/>
      <c r="G94" s="73"/>
    </row>
    <row r="95" spans="1:7">
      <c r="A95" s="52"/>
      <c r="B95" s="83" t="s">
        <v>43</v>
      </c>
      <c r="C95" s="84" t="s">
        <v>44</v>
      </c>
      <c r="D95" s="84" t="s">
        <v>45</v>
      </c>
      <c r="E95" s="84" t="s">
        <v>14</v>
      </c>
      <c r="F95" s="84" t="s">
        <v>4</v>
      </c>
      <c r="G95" s="73"/>
    </row>
    <row r="96" spans="1:7">
      <c r="A96" s="52"/>
      <c r="B96" s="104" t="str">
        <f t="shared" ref="B96:D97" si="3">+B54</f>
        <v>INSPECTOR DE OBRA 2</v>
      </c>
      <c r="C96" s="87">
        <f t="shared" si="3"/>
        <v>0</v>
      </c>
      <c r="D96" s="87">
        <f t="shared" si="3"/>
        <v>1</v>
      </c>
      <c r="E96" s="87">
        <f>+E54/12</f>
        <v>333.32500000000005</v>
      </c>
      <c r="F96" s="104">
        <f>+C96*D96*E96</f>
        <v>0</v>
      </c>
      <c r="G96" s="73"/>
    </row>
    <row r="97" spans="1:7">
      <c r="A97" s="55"/>
      <c r="B97" s="104" t="str">
        <f t="shared" si="3"/>
        <v>ASISTENTE ADMINISTRATIVO 2</v>
      </c>
      <c r="C97" s="87">
        <f t="shared" si="3"/>
        <v>0</v>
      </c>
      <c r="D97" s="87">
        <f t="shared" si="3"/>
        <v>0</v>
      </c>
      <c r="E97" s="87">
        <f>+E55/12</f>
        <v>100</v>
      </c>
      <c r="F97" s="104">
        <f>+C97*D97*E97</f>
        <v>0</v>
      </c>
      <c r="G97" s="73"/>
    </row>
    <row r="98" spans="1:7">
      <c r="A98" s="52"/>
      <c r="B98" s="522" t="s">
        <v>3</v>
      </c>
      <c r="C98" s="522"/>
      <c r="D98" s="522"/>
      <c r="E98" s="522"/>
      <c r="F98" s="225">
        <f>SUM(F96:F97)</f>
        <v>0</v>
      </c>
      <c r="G98" s="73"/>
    </row>
    <row r="99" spans="1:7">
      <c r="A99" s="79"/>
      <c r="B99" s="80"/>
      <c r="C99" s="73"/>
      <c r="D99" s="73"/>
      <c r="E99" s="74"/>
      <c r="F99" s="73"/>
      <c r="G99" s="73"/>
    </row>
    <row r="100" spans="1:7" ht="15.75">
      <c r="A100" s="185">
        <v>4</v>
      </c>
      <c r="B100" s="186" t="s">
        <v>103</v>
      </c>
      <c r="C100" s="187"/>
      <c r="D100" s="187"/>
      <c r="E100" s="189"/>
      <c r="F100" s="190" t="s">
        <v>0</v>
      </c>
      <c r="G100" s="191">
        <f>+G102</f>
        <v>0</v>
      </c>
    </row>
    <row r="101" spans="1:7">
      <c r="A101" s="79"/>
      <c r="B101" s="80"/>
      <c r="C101" s="73"/>
      <c r="D101" s="73"/>
      <c r="E101" s="74"/>
      <c r="F101" s="73"/>
      <c r="G101" s="73"/>
    </row>
    <row r="102" spans="1:7" ht="15.75">
      <c r="A102" s="79">
        <v>4.01</v>
      </c>
      <c r="B102" s="80" t="s">
        <v>123</v>
      </c>
      <c r="C102" s="66"/>
      <c r="D102" s="66"/>
      <c r="E102" s="82"/>
      <c r="F102" s="75" t="s">
        <v>0</v>
      </c>
      <c r="G102" s="76">
        <f>+F109</f>
        <v>0</v>
      </c>
    </row>
    <row r="103" spans="1:7">
      <c r="A103" s="90"/>
      <c r="B103" s="80"/>
      <c r="C103" s="66"/>
      <c r="D103" s="66"/>
      <c r="E103" s="82"/>
      <c r="F103" s="66"/>
      <c r="G103" s="73"/>
    </row>
    <row r="104" spans="1:7">
      <c r="A104" s="90"/>
      <c r="B104" s="80" t="s">
        <v>42</v>
      </c>
      <c r="C104" s="66"/>
      <c r="D104" s="66"/>
      <c r="E104" s="82"/>
      <c r="F104" s="66"/>
      <c r="G104" s="73"/>
    </row>
    <row r="105" spans="1:7">
      <c r="A105" s="52"/>
      <c r="B105" s="80"/>
      <c r="C105" s="66"/>
      <c r="D105" s="66"/>
      <c r="E105" s="82"/>
      <c r="F105" s="66"/>
      <c r="G105" s="73"/>
    </row>
    <row r="106" spans="1:7">
      <c r="A106" s="52"/>
      <c r="B106" s="83" t="s">
        <v>43</v>
      </c>
      <c r="C106" s="84" t="s">
        <v>44</v>
      </c>
      <c r="D106" s="84" t="s">
        <v>45</v>
      </c>
      <c r="E106" s="84" t="s">
        <v>14</v>
      </c>
      <c r="F106" s="84" t="s">
        <v>4</v>
      </c>
      <c r="G106" s="73"/>
    </row>
    <row r="107" spans="1:7">
      <c r="A107" s="52"/>
      <c r="B107" s="104" t="str">
        <f t="shared" ref="B107:D108" si="4">+B54</f>
        <v>INSPECTOR DE OBRA 2</v>
      </c>
      <c r="C107" s="87">
        <f t="shared" si="4"/>
        <v>0</v>
      </c>
      <c r="D107" s="87">
        <f t="shared" si="4"/>
        <v>1</v>
      </c>
      <c r="E107" s="87">
        <f>+E54/12*2</f>
        <v>666.65000000000009</v>
      </c>
      <c r="F107" s="104">
        <f>+C107*D107*E107</f>
        <v>0</v>
      </c>
      <c r="G107" s="73"/>
    </row>
    <row r="108" spans="1:7">
      <c r="A108" s="52"/>
      <c r="B108" s="98" t="str">
        <f t="shared" si="4"/>
        <v>ASISTENTE ADMINISTRATIVO 2</v>
      </c>
      <c r="C108" s="88">
        <f t="shared" si="4"/>
        <v>0</v>
      </c>
      <c r="D108" s="88">
        <f t="shared" si="4"/>
        <v>0</v>
      </c>
      <c r="E108" s="88">
        <f>+E55/12*2</f>
        <v>200</v>
      </c>
      <c r="F108" s="98">
        <f>+C108*D108*E108</f>
        <v>0</v>
      </c>
      <c r="G108" s="73"/>
    </row>
    <row r="109" spans="1:7">
      <c r="A109" s="55"/>
      <c r="B109" s="516" t="s">
        <v>3</v>
      </c>
      <c r="C109" s="516"/>
      <c r="D109" s="516"/>
      <c r="E109" s="516"/>
      <c r="F109" s="225">
        <f>SUM(F107:F108)</f>
        <v>0</v>
      </c>
      <c r="G109" s="73"/>
    </row>
    <row r="110" spans="1:7">
      <c r="A110" s="52"/>
      <c r="B110" s="73"/>
      <c r="C110" s="73"/>
      <c r="D110" s="73"/>
      <c r="E110" s="74"/>
      <c r="F110" s="73"/>
      <c r="G110" s="73"/>
    </row>
    <row r="111" spans="1:7" ht="15.75">
      <c r="A111" s="210" t="s">
        <v>185</v>
      </c>
      <c r="B111" s="211"/>
      <c r="C111" s="207"/>
      <c r="D111" s="207"/>
      <c r="E111" s="208"/>
      <c r="F111" s="208" t="s">
        <v>0</v>
      </c>
      <c r="G111" s="209">
        <f>+G113+G121+G129</f>
        <v>0</v>
      </c>
    </row>
    <row r="112" spans="1:7">
      <c r="A112" s="79"/>
      <c r="B112" s="80"/>
      <c r="C112" s="73"/>
      <c r="D112" s="73"/>
      <c r="E112" s="74"/>
      <c r="F112" s="73"/>
      <c r="G112" s="73"/>
    </row>
    <row r="113" spans="1:7" ht="15.75">
      <c r="A113" s="71">
        <v>1</v>
      </c>
      <c r="B113" s="112" t="s">
        <v>38</v>
      </c>
      <c r="C113" s="73"/>
      <c r="D113" s="73"/>
      <c r="E113" s="74"/>
      <c r="F113" s="75" t="s">
        <v>0</v>
      </c>
      <c r="G113" s="76">
        <f>F118</f>
        <v>0</v>
      </c>
    </row>
    <row r="114" spans="1:7">
      <c r="A114" s="79"/>
      <c r="B114" s="80"/>
      <c r="C114" s="73"/>
      <c r="D114" s="73"/>
      <c r="E114" s="74"/>
      <c r="F114" s="73"/>
      <c r="G114" s="73"/>
    </row>
    <row r="115" spans="1:7">
      <c r="A115" s="52"/>
      <c r="B115" s="118" t="s">
        <v>23</v>
      </c>
      <c r="C115" s="118" t="s">
        <v>2</v>
      </c>
      <c r="D115" s="118" t="s">
        <v>24</v>
      </c>
      <c r="E115" s="118" t="s">
        <v>5</v>
      </c>
      <c r="F115" s="118" t="s">
        <v>4</v>
      </c>
      <c r="G115" s="105"/>
    </row>
    <row r="116" spans="1:7">
      <c r="A116" s="42"/>
      <c r="B116" s="103" t="s">
        <v>108</v>
      </c>
      <c r="C116" s="87" t="s">
        <v>8</v>
      </c>
      <c r="D116" s="95">
        <v>0</v>
      </c>
      <c r="E116" s="96">
        <v>260</v>
      </c>
      <c r="F116" s="104">
        <f>+D116*E116</f>
        <v>0</v>
      </c>
      <c r="G116" s="24"/>
    </row>
    <row r="117" spans="1:7">
      <c r="A117" s="52"/>
      <c r="B117" s="101" t="s">
        <v>101</v>
      </c>
      <c r="C117" s="88" t="s">
        <v>2</v>
      </c>
      <c r="D117" s="92">
        <v>0</v>
      </c>
      <c r="E117" s="92">
        <v>15</v>
      </c>
      <c r="F117" s="98">
        <f>+D117*E117</f>
        <v>0</v>
      </c>
      <c r="G117" s="91"/>
    </row>
    <row r="118" spans="1:7">
      <c r="A118" s="52"/>
      <c r="B118" s="511" t="s">
        <v>3</v>
      </c>
      <c r="C118" s="511"/>
      <c r="D118" s="511"/>
      <c r="E118" s="511"/>
      <c r="F118" s="119">
        <f>SUM(F116:F117)</f>
        <v>0</v>
      </c>
      <c r="G118" s="91"/>
    </row>
    <row r="119" spans="1:7">
      <c r="A119" s="52"/>
      <c r="B119" s="105"/>
      <c r="C119" s="105"/>
      <c r="D119" s="105"/>
      <c r="E119" s="105"/>
      <c r="F119" s="105"/>
      <c r="G119" s="91"/>
    </row>
    <row r="120" spans="1:7">
      <c r="A120" s="52"/>
      <c r="B120" s="73"/>
      <c r="C120" s="73"/>
      <c r="D120" s="73"/>
      <c r="E120" s="74"/>
      <c r="F120" s="73"/>
      <c r="G120" s="73"/>
    </row>
    <row r="121" spans="1:7" ht="15.75">
      <c r="A121" s="111">
        <v>2</v>
      </c>
      <c r="B121" s="112" t="s">
        <v>120</v>
      </c>
      <c r="C121" s="120"/>
      <c r="D121" s="121"/>
      <c r="E121" s="122"/>
      <c r="F121" s="113" t="s">
        <v>0</v>
      </c>
      <c r="G121" s="114">
        <f>+F127</f>
        <v>0</v>
      </c>
    </row>
    <row r="122" spans="1:7">
      <c r="A122" s="115"/>
      <c r="B122" s="116"/>
      <c r="C122" s="123"/>
      <c r="D122" s="124"/>
      <c r="E122" s="123"/>
      <c r="F122" s="124"/>
      <c r="G122" s="58"/>
    </row>
    <row r="123" spans="1:7">
      <c r="A123" s="115"/>
      <c r="B123" s="118" t="s">
        <v>23</v>
      </c>
      <c r="C123" s="118" t="s">
        <v>2</v>
      </c>
      <c r="D123" s="118" t="s">
        <v>24</v>
      </c>
      <c r="E123" s="118" t="s">
        <v>5</v>
      </c>
      <c r="F123" s="118" t="s">
        <v>4</v>
      </c>
      <c r="G123" s="58"/>
    </row>
    <row r="124" spans="1:7">
      <c r="A124" s="115"/>
      <c r="B124" s="103" t="s">
        <v>144</v>
      </c>
      <c r="C124" s="87" t="s">
        <v>6</v>
      </c>
      <c r="D124" s="87">
        <v>0</v>
      </c>
      <c r="E124" s="87">
        <v>13</v>
      </c>
      <c r="F124" s="102">
        <f>E124*D124</f>
        <v>0</v>
      </c>
      <c r="G124" s="58"/>
    </row>
    <row r="125" spans="1:7">
      <c r="A125" s="79"/>
      <c r="B125" s="85" t="s">
        <v>138</v>
      </c>
      <c r="C125" s="237" t="s">
        <v>6</v>
      </c>
      <c r="D125" s="237">
        <v>0</v>
      </c>
      <c r="E125" s="237">
        <v>13</v>
      </c>
      <c r="F125" s="238">
        <f>+D125*E125</f>
        <v>0</v>
      </c>
      <c r="G125" s="73"/>
    </row>
    <row r="126" spans="1:7">
      <c r="A126" s="115"/>
      <c r="B126" s="98" t="s">
        <v>7</v>
      </c>
      <c r="C126" s="99" t="s">
        <v>6</v>
      </c>
      <c r="D126" s="99">
        <v>0</v>
      </c>
      <c r="E126" s="99">
        <v>45</v>
      </c>
      <c r="F126" s="125">
        <f>+D126*E126</f>
        <v>0</v>
      </c>
      <c r="G126" s="202"/>
    </row>
    <row r="127" spans="1:7">
      <c r="A127" s="117"/>
      <c r="B127" s="511" t="s">
        <v>3</v>
      </c>
      <c r="C127" s="511"/>
      <c r="D127" s="511"/>
      <c r="E127" s="511"/>
      <c r="F127" s="119">
        <f>SUM(F124:F126)</f>
        <v>0</v>
      </c>
      <c r="G127" s="58"/>
    </row>
    <row r="128" spans="1:7">
      <c r="A128" s="117"/>
      <c r="B128" s="126"/>
      <c r="C128" s="110"/>
      <c r="D128" s="127"/>
      <c r="E128" s="110"/>
      <c r="F128" s="127"/>
      <c r="G128" s="58"/>
    </row>
    <row r="129" spans="1:7" ht="15.75">
      <c r="A129" s="71">
        <v>3</v>
      </c>
      <c r="B129" s="112" t="s">
        <v>53</v>
      </c>
      <c r="C129" s="73"/>
      <c r="D129" s="73"/>
      <c r="E129" s="8"/>
      <c r="F129" s="75" t="s">
        <v>0</v>
      </c>
      <c r="G129" s="76">
        <f>+F154</f>
        <v>0</v>
      </c>
    </row>
    <row r="130" spans="1:7">
      <c r="A130" s="79"/>
      <c r="B130" s="80"/>
      <c r="C130" s="73"/>
      <c r="D130" s="73"/>
      <c r="E130" s="74"/>
      <c r="F130" s="73"/>
      <c r="G130" s="66"/>
    </row>
    <row r="131" spans="1:7">
      <c r="A131" s="52"/>
      <c r="B131" s="83" t="s">
        <v>51</v>
      </c>
      <c r="C131" s="84" t="s">
        <v>59</v>
      </c>
      <c r="D131" s="84" t="s">
        <v>24</v>
      </c>
      <c r="E131" s="84" t="s">
        <v>5</v>
      </c>
      <c r="F131" s="84" t="s">
        <v>4</v>
      </c>
      <c r="G131" s="66"/>
    </row>
    <row r="132" spans="1:7">
      <c r="A132" s="52"/>
      <c r="B132" s="45" t="s">
        <v>98</v>
      </c>
      <c r="C132" s="97" t="s">
        <v>2</v>
      </c>
      <c r="D132" s="97"/>
      <c r="E132" s="97">
        <v>0.5</v>
      </c>
      <c r="F132" s="45">
        <f t="shared" ref="F132:F152" si="5">+D132*E132</f>
        <v>0</v>
      </c>
      <c r="G132" s="66"/>
    </row>
    <row r="133" spans="1:7">
      <c r="A133" s="52"/>
      <c r="B133" s="45" t="s">
        <v>56</v>
      </c>
      <c r="C133" s="97" t="s">
        <v>2</v>
      </c>
      <c r="D133" s="97"/>
      <c r="E133" s="97">
        <v>9</v>
      </c>
      <c r="F133" s="45">
        <f t="shared" si="5"/>
        <v>0</v>
      </c>
      <c r="G133" s="66"/>
    </row>
    <row r="134" spans="1:7">
      <c r="A134" s="52"/>
      <c r="B134" s="45" t="s">
        <v>96</v>
      </c>
      <c r="C134" s="97" t="s">
        <v>2</v>
      </c>
      <c r="D134" s="97"/>
      <c r="E134" s="97">
        <v>1</v>
      </c>
      <c r="F134" s="45">
        <f t="shared" si="5"/>
        <v>0</v>
      </c>
      <c r="G134" s="66"/>
    </row>
    <row r="135" spans="1:7">
      <c r="A135" s="52"/>
      <c r="B135" s="45" t="s">
        <v>91</v>
      </c>
      <c r="C135" s="97" t="s">
        <v>2</v>
      </c>
      <c r="D135" s="97"/>
      <c r="E135" s="97">
        <v>2</v>
      </c>
      <c r="F135" s="45">
        <f t="shared" si="5"/>
        <v>0</v>
      </c>
      <c r="G135" s="66"/>
    </row>
    <row r="136" spans="1:7">
      <c r="A136" s="52"/>
      <c r="B136" s="45" t="s">
        <v>109</v>
      </c>
      <c r="C136" s="97" t="s">
        <v>2</v>
      </c>
      <c r="D136" s="97"/>
      <c r="E136" s="97">
        <v>5</v>
      </c>
      <c r="F136" s="45">
        <f t="shared" si="5"/>
        <v>0</v>
      </c>
      <c r="G136" s="66"/>
    </row>
    <row r="137" spans="1:7">
      <c r="A137" s="52"/>
      <c r="B137" s="45" t="s">
        <v>55</v>
      </c>
      <c r="C137" s="97" t="s">
        <v>2</v>
      </c>
      <c r="D137" s="97"/>
      <c r="E137" s="97">
        <v>3</v>
      </c>
      <c r="F137" s="45">
        <f t="shared" si="5"/>
        <v>0</v>
      </c>
      <c r="G137" s="66"/>
    </row>
    <row r="138" spans="1:7">
      <c r="A138" s="52"/>
      <c r="B138" s="45" t="s">
        <v>94</v>
      </c>
      <c r="C138" s="97" t="s">
        <v>2</v>
      </c>
      <c r="D138" s="97"/>
      <c r="E138" s="97">
        <v>4</v>
      </c>
      <c r="F138" s="45">
        <f t="shared" si="5"/>
        <v>0</v>
      </c>
      <c r="G138" s="66"/>
    </row>
    <row r="139" spans="1:7">
      <c r="A139" s="52"/>
      <c r="B139" s="45" t="s">
        <v>97</v>
      </c>
      <c r="C139" s="97" t="s">
        <v>2</v>
      </c>
      <c r="D139" s="97"/>
      <c r="E139" s="97">
        <v>1</v>
      </c>
      <c r="F139" s="45">
        <f t="shared" si="5"/>
        <v>0</v>
      </c>
      <c r="G139" s="66"/>
    </row>
    <row r="140" spans="1:7">
      <c r="A140" s="52"/>
      <c r="B140" s="45" t="s">
        <v>86</v>
      </c>
      <c r="C140" s="97" t="s">
        <v>52</v>
      </c>
      <c r="D140" s="97"/>
      <c r="E140" s="97">
        <v>6</v>
      </c>
      <c r="F140" s="45">
        <f t="shared" si="5"/>
        <v>0</v>
      </c>
      <c r="G140" s="66"/>
    </row>
    <row r="141" spans="1:7">
      <c r="A141" s="52"/>
      <c r="B141" s="45" t="s">
        <v>85</v>
      </c>
      <c r="C141" s="97" t="s">
        <v>2</v>
      </c>
      <c r="D141" s="97"/>
      <c r="E141" s="97">
        <v>0.8</v>
      </c>
      <c r="F141" s="45">
        <f t="shared" si="5"/>
        <v>0</v>
      </c>
      <c r="G141" s="66"/>
    </row>
    <row r="142" spans="1:7">
      <c r="A142" s="52"/>
      <c r="B142" s="45" t="s">
        <v>110</v>
      </c>
      <c r="C142" s="97" t="s">
        <v>2</v>
      </c>
      <c r="D142" s="97"/>
      <c r="E142" s="97">
        <v>1</v>
      </c>
      <c r="F142" s="45">
        <f t="shared" si="5"/>
        <v>0</v>
      </c>
      <c r="G142" s="66"/>
    </row>
    <row r="143" spans="1:7">
      <c r="A143" s="52"/>
      <c r="B143" s="45" t="s">
        <v>95</v>
      </c>
      <c r="C143" s="97" t="s">
        <v>2</v>
      </c>
      <c r="D143" s="97"/>
      <c r="E143" s="97">
        <v>8</v>
      </c>
      <c r="F143" s="45">
        <f t="shared" si="5"/>
        <v>0</v>
      </c>
      <c r="G143" s="66"/>
    </row>
    <row r="144" spans="1:7">
      <c r="A144" s="52"/>
      <c r="B144" s="45" t="s">
        <v>87</v>
      </c>
      <c r="C144" s="97" t="s">
        <v>52</v>
      </c>
      <c r="D144" s="97"/>
      <c r="E144" s="97">
        <v>19.5</v>
      </c>
      <c r="F144" s="45">
        <f t="shared" si="5"/>
        <v>0</v>
      </c>
      <c r="G144" s="66"/>
    </row>
    <row r="145" spans="1:10">
      <c r="A145" s="52"/>
      <c r="B145" s="45" t="s">
        <v>58</v>
      </c>
      <c r="C145" s="97" t="s">
        <v>54</v>
      </c>
      <c r="D145" s="97">
        <v>0</v>
      </c>
      <c r="E145" s="97">
        <v>32</v>
      </c>
      <c r="F145" s="45">
        <f t="shared" si="5"/>
        <v>0</v>
      </c>
      <c r="G145" s="66"/>
    </row>
    <row r="146" spans="1:10">
      <c r="A146" s="52"/>
      <c r="B146" s="45" t="s">
        <v>92</v>
      </c>
      <c r="C146" s="97" t="s">
        <v>2</v>
      </c>
      <c r="D146" s="97"/>
      <c r="E146" s="97">
        <v>4.5</v>
      </c>
      <c r="F146" s="45">
        <f t="shared" si="5"/>
        <v>0</v>
      </c>
      <c r="G146" s="66"/>
    </row>
    <row r="147" spans="1:10">
      <c r="A147" s="52"/>
      <c r="B147" s="45" t="s">
        <v>116</v>
      </c>
      <c r="C147" s="97" t="s">
        <v>2</v>
      </c>
      <c r="D147" s="97"/>
      <c r="E147" s="97">
        <v>36</v>
      </c>
      <c r="F147" s="45">
        <f t="shared" si="5"/>
        <v>0</v>
      </c>
      <c r="G147" s="66"/>
    </row>
    <row r="148" spans="1:10">
      <c r="A148" s="52"/>
      <c r="B148" s="45" t="s">
        <v>88</v>
      </c>
      <c r="C148" s="97" t="s">
        <v>2</v>
      </c>
      <c r="D148" s="97"/>
      <c r="E148" s="97">
        <v>5</v>
      </c>
      <c r="F148" s="45">
        <f t="shared" si="5"/>
        <v>0</v>
      </c>
      <c r="G148" s="66"/>
    </row>
    <row r="149" spans="1:10">
      <c r="A149" s="52"/>
      <c r="B149" s="45" t="s">
        <v>89</v>
      </c>
      <c r="C149" s="97" t="s">
        <v>2</v>
      </c>
      <c r="D149" s="97"/>
      <c r="E149" s="97">
        <v>15</v>
      </c>
      <c r="F149" s="45">
        <f t="shared" si="5"/>
        <v>0</v>
      </c>
      <c r="G149" s="66"/>
    </row>
    <row r="150" spans="1:10">
      <c r="A150" s="52"/>
      <c r="B150" s="45" t="s">
        <v>100</v>
      </c>
      <c r="C150" s="97" t="s">
        <v>77</v>
      </c>
      <c r="D150" s="97"/>
      <c r="E150" s="97">
        <v>4.75</v>
      </c>
      <c r="F150" s="45">
        <f t="shared" si="5"/>
        <v>0</v>
      </c>
      <c r="G150" s="66"/>
    </row>
    <row r="151" spans="1:10">
      <c r="A151" s="52"/>
      <c r="B151" s="45" t="s">
        <v>90</v>
      </c>
      <c r="C151" s="97" t="s">
        <v>2</v>
      </c>
      <c r="D151" s="97"/>
      <c r="E151" s="97">
        <v>1.5</v>
      </c>
      <c r="F151" s="45">
        <f t="shared" si="5"/>
        <v>0</v>
      </c>
      <c r="G151" s="66"/>
    </row>
    <row r="152" spans="1:10">
      <c r="A152" s="52"/>
      <c r="B152" s="45" t="s">
        <v>93</v>
      </c>
      <c r="C152" s="97" t="s">
        <v>2</v>
      </c>
      <c r="D152" s="97"/>
      <c r="E152" s="97">
        <v>3</v>
      </c>
      <c r="F152" s="45">
        <f t="shared" si="5"/>
        <v>0</v>
      </c>
      <c r="G152" s="66"/>
    </row>
    <row r="153" spans="1:10">
      <c r="A153" s="52"/>
      <c r="B153" s="43" t="s">
        <v>73</v>
      </c>
      <c r="C153" s="44" t="s">
        <v>2</v>
      </c>
      <c r="D153" s="44">
        <v>0</v>
      </c>
      <c r="E153" s="44">
        <v>143.27000000000001</v>
      </c>
      <c r="F153" s="94">
        <v>0</v>
      </c>
      <c r="G153" s="66"/>
      <c r="J153" s="155"/>
    </row>
    <row r="154" spans="1:10">
      <c r="A154" s="81"/>
      <c r="B154" s="511" t="s">
        <v>3</v>
      </c>
      <c r="C154" s="511"/>
      <c r="D154" s="511"/>
      <c r="E154" s="511"/>
      <c r="F154" s="86">
        <f>SUM(F132:F153)</f>
        <v>0</v>
      </c>
      <c r="G154" s="66"/>
    </row>
    <row r="155" spans="1:10">
      <c r="A155" s="81"/>
      <c r="B155" s="105"/>
      <c r="C155" s="105"/>
      <c r="D155" s="105"/>
      <c r="E155" s="105"/>
      <c r="F155" s="73"/>
      <c r="G155" s="66"/>
    </row>
    <row r="156" spans="1:10" ht="15.75">
      <c r="A156" s="71">
        <v>4</v>
      </c>
      <c r="B156" s="72" t="s">
        <v>117</v>
      </c>
      <c r="C156" s="73"/>
      <c r="D156" s="73"/>
      <c r="E156" s="8"/>
      <c r="F156" s="75" t="s">
        <v>0</v>
      </c>
      <c r="G156" s="133">
        <f>F162</f>
        <v>0</v>
      </c>
    </row>
    <row r="157" spans="1:10">
      <c r="A157" s="79"/>
      <c r="B157" s="80"/>
      <c r="C157" s="73"/>
      <c r="D157" s="73"/>
      <c r="E157" s="74"/>
      <c r="F157" s="73"/>
      <c r="G157" s="66"/>
    </row>
    <row r="158" spans="1:10">
      <c r="A158" s="79"/>
      <c r="B158" s="83" t="s">
        <v>51</v>
      </c>
      <c r="C158" s="84" t="s">
        <v>59</v>
      </c>
      <c r="D158" s="84" t="s">
        <v>24</v>
      </c>
      <c r="E158" s="84" t="s">
        <v>5</v>
      </c>
      <c r="F158" s="84" t="s">
        <v>4</v>
      </c>
      <c r="G158" s="66"/>
    </row>
    <row r="159" spans="1:10">
      <c r="A159" s="79"/>
      <c r="B159" s="234" t="s">
        <v>115</v>
      </c>
      <c r="C159" s="235" t="s">
        <v>59</v>
      </c>
      <c r="D159" s="236"/>
      <c r="E159" s="87">
        <v>165</v>
      </c>
      <c r="F159" s="134">
        <f>D159*E159</f>
        <v>0</v>
      </c>
      <c r="G159" s="66"/>
    </row>
    <row r="160" spans="1:10">
      <c r="A160" s="79"/>
      <c r="B160" s="43" t="s">
        <v>114</v>
      </c>
      <c r="C160" s="7" t="s">
        <v>59</v>
      </c>
      <c r="D160" s="74"/>
      <c r="E160" s="44">
        <v>5600</v>
      </c>
      <c r="F160" s="134">
        <f>D160*E160</f>
        <v>0</v>
      </c>
      <c r="G160" s="66"/>
    </row>
    <row r="161" spans="1:7">
      <c r="A161" s="79"/>
      <c r="B161" s="136" t="s">
        <v>106</v>
      </c>
      <c r="C161" s="88" t="s">
        <v>59</v>
      </c>
      <c r="D161" s="137"/>
      <c r="E161" s="88">
        <v>680.5</v>
      </c>
      <c r="F161" s="138">
        <f>+D161*E161</f>
        <v>0</v>
      </c>
      <c r="G161" s="66"/>
    </row>
    <row r="162" spans="1:7">
      <c r="A162" s="79"/>
      <c r="B162" s="508" t="s">
        <v>3</v>
      </c>
      <c r="C162" s="509"/>
      <c r="D162" s="509"/>
      <c r="E162" s="510"/>
      <c r="F162" s="86">
        <f>SUM(F159:F161)</f>
        <v>0</v>
      </c>
      <c r="G162" s="66"/>
    </row>
    <row r="163" spans="1:7" ht="15.75">
      <c r="A163" s="111"/>
      <c r="B163" s="79"/>
      <c r="C163" s="80"/>
      <c r="D163" s="128"/>
      <c r="E163" s="129"/>
      <c r="F163" s="113"/>
      <c r="G163" s="114"/>
    </row>
    <row r="164" spans="1:7">
      <c r="A164" s="52"/>
      <c r="B164" s="105"/>
      <c r="C164" s="105"/>
      <c r="D164" s="105"/>
      <c r="E164" s="105"/>
      <c r="F164" s="73"/>
      <c r="G164" s="66"/>
    </row>
    <row r="165" spans="1:7" ht="15.75">
      <c r="A165" s="210" t="s">
        <v>186</v>
      </c>
      <c r="B165" s="211"/>
      <c r="C165" s="207"/>
      <c r="D165" s="207"/>
      <c r="E165" s="208"/>
      <c r="F165" s="208" t="s">
        <v>0</v>
      </c>
      <c r="G165" s="209">
        <f>+G167</f>
        <v>0</v>
      </c>
    </row>
    <row r="166" spans="1:7" ht="15.75">
      <c r="A166" s="111"/>
      <c r="B166" s="132"/>
      <c r="C166" s="130"/>
      <c r="D166" s="130"/>
      <c r="E166" s="129"/>
      <c r="F166" s="113"/>
      <c r="G166" s="114"/>
    </row>
    <row r="167" spans="1:7" ht="15.75">
      <c r="A167" s="111"/>
      <c r="B167" s="80" t="s">
        <v>118</v>
      </c>
      <c r="C167" s="130"/>
      <c r="D167" s="130"/>
      <c r="E167" s="129"/>
      <c r="F167" s="113" t="s">
        <v>0</v>
      </c>
      <c r="G167" s="114">
        <f>F175</f>
        <v>0</v>
      </c>
    </row>
    <row r="168" spans="1:7" ht="15.75">
      <c r="A168" s="111"/>
      <c r="B168" s="132"/>
      <c r="C168" s="130"/>
      <c r="D168" s="130"/>
      <c r="E168" s="129"/>
      <c r="F168" s="113"/>
      <c r="G168" s="114"/>
    </row>
    <row r="169" spans="1:7" ht="15.75">
      <c r="A169" s="90" t="s">
        <v>12</v>
      </c>
      <c r="B169" s="80" t="s">
        <v>31</v>
      </c>
      <c r="C169" s="73"/>
      <c r="D169" s="73"/>
      <c r="E169" s="74"/>
      <c r="F169" s="73"/>
      <c r="G169" s="114"/>
    </row>
    <row r="170" spans="1:7" ht="15.75">
      <c r="A170" s="111"/>
      <c r="B170" s="80"/>
      <c r="C170" s="73"/>
      <c r="D170" s="73"/>
      <c r="E170" s="74"/>
      <c r="F170" s="73"/>
      <c r="G170" s="114"/>
    </row>
    <row r="171" spans="1:7" ht="15.75">
      <c r="A171" s="111"/>
      <c r="B171" s="83" t="s">
        <v>51</v>
      </c>
      <c r="C171" s="84" t="s">
        <v>59</v>
      </c>
      <c r="D171" s="84" t="s">
        <v>24</v>
      </c>
      <c r="E171" s="84" t="s">
        <v>5</v>
      </c>
      <c r="F171" s="84" t="s">
        <v>4</v>
      </c>
      <c r="G171" s="114"/>
    </row>
    <row r="172" spans="1:7" ht="15.75">
      <c r="A172" s="111"/>
      <c r="B172" s="43" t="s">
        <v>140</v>
      </c>
      <c r="C172" s="44" t="s">
        <v>152</v>
      </c>
      <c r="D172" s="44"/>
      <c r="E172" s="44">
        <v>135</v>
      </c>
      <c r="F172" s="94">
        <f>+D172*E172</f>
        <v>0</v>
      </c>
      <c r="G172" s="114"/>
    </row>
    <row r="173" spans="1:7" ht="15.75">
      <c r="A173" s="111"/>
      <c r="B173" s="43" t="s">
        <v>121</v>
      </c>
      <c r="C173" s="44" t="s">
        <v>2</v>
      </c>
      <c r="D173" s="44"/>
      <c r="E173" s="44">
        <v>3.5</v>
      </c>
      <c r="F173" s="94">
        <f>+D173*E173</f>
        <v>0</v>
      </c>
      <c r="G173" s="114"/>
    </row>
    <row r="174" spans="1:7" ht="15.75">
      <c r="A174" s="111"/>
      <c r="B174" s="43" t="s">
        <v>253</v>
      </c>
      <c r="C174" s="44" t="s">
        <v>54</v>
      </c>
      <c r="D174" s="44"/>
      <c r="E174" s="44">
        <v>100</v>
      </c>
      <c r="F174" s="94">
        <f>+D174*E174</f>
        <v>0</v>
      </c>
      <c r="G174" s="114"/>
    </row>
    <row r="175" spans="1:7" ht="15.75">
      <c r="A175" s="111"/>
      <c r="B175" s="508" t="s">
        <v>3</v>
      </c>
      <c r="C175" s="509"/>
      <c r="D175" s="509"/>
      <c r="E175" s="510"/>
      <c r="F175" s="225">
        <f>SUM(F172:F174)</f>
        <v>0</v>
      </c>
      <c r="G175" s="114"/>
    </row>
    <row r="176" spans="1:7">
      <c r="A176" s="117"/>
      <c r="B176" s="69"/>
      <c r="C176" s="69"/>
      <c r="D176" s="69"/>
      <c r="E176" s="69"/>
      <c r="F176" s="131"/>
      <c r="G176" s="58"/>
    </row>
    <row r="177" spans="1:7">
      <c r="A177" s="81"/>
      <c r="B177" s="105"/>
      <c r="C177" s="105"/>
      <c r="D177" s="105"/>
      <c r="E177" s="105"/>
      <c r="F177" s="73"/>
      <c r="G177" s="66"/>
    </row>
    <row r="178" spans="1:7" ht="15.75">
      <c r="A178" s="523" t="s">
        <v>258</v>
      </c>
      <c r="B178" s="523"/>
      <c r="C178" s="523"/>
      <c r="D178" s="523"/>
      <c r="E178" s="523"/>
      <c r="F178" s="75" t="s">
        <v>0</v>
      </c>
      <c r="G178" s="139">
        <f>+G165+G111+G45</f>
        <v>0</v>
      </c>
    </row>
    <row r="180" spans="1:7" ht="18">
      <c r="B180" s="232" t="s">
        <v>256</v>
      </c>
      <c r="F180" s="75" t="s">
        <v>0</v>
      </c>
      <c r="G180" s="139">
        <f>+G19</f>
        <v>0</v>
      </c>
    </row>
  </sheetData>
  <mergeCells count="19">
    <mergeCell ref="B98:E98"/>
    <mergeCell ref="B38:E38"/>
    <mergeCell ref="A178:E178"/>
    <mergeCell ref="B109:E109"/>
    <mergeCell ref="B118:E118"/>
    <mergeCell ref="B127:E127"/>
    <mergeCell ref="B154:E154"/>
    <mergeCell ref="B175:E175"/>
    <mergeCell ref="B162:E162"/>
    <mergeCell ref="A41:E41"/>
    <mergeCell ref="B56:E56"/>
    <mergeCell ref="B68:E68"/>
    <mergeCell ref="B78:E78"/>
    <mergeCell ref="B89:E89"/>
    <mergeCell ref="A1:G1"/>
    <mergeCell ref="C9:G10"/>
    <mergeCell ref="C13:F13"/>
    <mergeCell ref="B19:F19"/>
    <mergeCell ref="A23:G23"/>
  </mergeCells>
  <pageMargins left="0.57999999999999996" right="0.26" top="0.94488188976377963" bottom="0.43307086614173229" header="0" footer="0"/>
  <pageSetup paperSize="9" scale="60" orientation="portrait" horizontalDpi="4294967294" r:id="rId1"/>
  <headerFooter alignWithMargins="0"/>
  <rowBreaks count="2" manualBreakCount="2">
    <brk id="22" max="7" man="1"/>
    <brk id="98" max="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3"/>
  </sheetPr>
  <dimension ref="A1:J118"/>
  <sheetViews>
    <sheetView view="pageBreakPreview" topLeftCell="A73" zoomScale="85" zoomScaleNormal="70" zoomScaleSheetLayoutView="85" workbookViewId="0">
      <selection activeCell="B44" sqref="B44"/>
    </sheetView>
  </sheetViews>
  <sheetFormatPr baseColWidth="10" defaultRowHeight="12.75"/>
  <cols>
    <col min="1" max="1" width="6" style="58" customWidth="1"/>
    <col min="2" max="2" width="46" style="58" customWidth="1"/>
    <col min="3" max="3" width="19.140625" style="58" customWidth="1"/>
    <col min="4" max="4" width="15.7109375" style="58" customWidth="1"/>
    <col min="5" max="5" width="11.140625" style="61" customWidth="1"/>
    <col min="6" max="7" width="14.7109375" style="58" customWidth="1"/>
    <col min="8" max="16384" width="11.42578125" style="51"/>
  </cols>
  <sheetData>
    <row r="1" spans="1:7" ht="21" customHeight="1" thickBot="1"/>
    <row r="2" spans="1:7" ht="27" customHeight="1" thickBot="1">
      <c r="A2" s="503" t="s">
        <v>286</v>
      </c>
      <c r="B2" s="504"/>
      <c r="C2" s="504"/>
      <c r="D2" s="504"/>
      <c r="E2" s="504"/>
      <c r="F2" s="504"/>
      <c r="G2" s="504"/>
    </row>
    <row r="3" spans="1:7" ht="18" customHeight="1" thickBot="1">
      <c r="A3" s="53"/>
      <c r="B3" s="53"/>
      <c r="C3" s="53"/>
      <c r="D3" s="53"/>
      <c r="E3" s="54"/>
      <c r="F3" s="53"/>
      <c r="G3" s="53"/>
    </row>
    <row r="4" spans="1:7" ht="18" hidden="1" customHeight="1">
      <c r="B4" s="56"/>
      <c r="C4" s="57"/>
      <c r="D4" s="53"/>
      <c r="E4" s="54"/>
      <c r="F4" s="53"/>
    </row>
    <row r="5" spans="1:7" ht="18" hidden="1" customHeight="1">
      <c r="B5" s="56" t="s">
        <v>33</v>
      </c>
      <c r="C5" s="22" t="str">
        <f>Resumen!D8</f>
        <v>:</v>
      </c>
      <c r="D5" s="53"/>
      <c r="E5" s="54"/>
      <c r="F5" s="53"/>
      <c r="G5" s="53"/>
    </row>
    <row r="6" spans="1:7" ht="18" hidden="1" customHeight="1">
      <c r="B6" s="56" t="s">
        <v>61</v>
      </c>
      <c r="C6" s="22">
        <f>Resumen!D9</f>
        <v>0</v>
      </c>
      <c r="G6" s="25" t="s">
        <v>1</v>
      </c>
    </row>
    <row r="7" spans="1:7" ht="18" hidden="1" customHeight="1">
      <c r="B7" s="21" t="s">
        <v>62</v>
      </c>
      <c r="C7" s="22">
        <f>Resumen!D10</f>
        <v>0</v>
      </c>
      <c r="G7" s="25"/>
    </row>
    <row r="8" spans="1:7" ht="18" hidden="1" customHeight="1">
      <c r="B8" s="21" t="s">
        <v>63</v>
      </c>
      <c r="C8" s="22">
        <f>Resumen!D11</f>
        <v>0</v>
      </c>
    </row>
    <row r="9" spans="1:7" ht="33" hidden="1" customHeight="1">
      <c r="B9" s="21" t="s">
        <v>104</v>
      </c>
      <c r="C9" s="527">
        <f>C.Directo!C11</f>
        <v>0</v>
      </c>
      <c r="D9" s="527"/>
      <c r="E9" s="527"/>
      <c r="F9" s="527"/>
      <c r="G9" s="527"/>
    </row>
    <row r="10" spans="1:7" ht="33" hidden="1" customHeight="1">
      <c r="B10" s="21"/>
      <c r="C10" s="527"/>
      <c r="D10" s="527"/>
      <c r="E10" s="527"/>
      <c r="F10" s="527"/>
      <c r="G10" s="527"/>
    </row>
    <row r="11" spans="1:7" ht="18" hidden="1" customHeight="1" thickBot="1">
      <c r="B11" s="21"/>
      <c r="C11" s="22"/>
      <c r="D11" s="53"/>
    </row>
    <row r="12" spans="1:7" s="153" customFormat="1" ht="20.25" customHeight="1" thickBot="1">
      <c r="A12" s="154"/>
      <c r="B12" s="194" t="s">
        <v>34</v>
      </c>
      <c r="C12" s="506" t="s">
        <v>35</v>
      </c>
      <c r="D12" s="506"/>
      <c r="E12" s="506"/>
      <c r="F12" s="506"/>
      <c r="G12" s="195" t="s">
        <v>187</v>
      </c>
    </row>
    <row r="13" spans="1:7" s="153" customFormat="1" ht="20.25" customHeight="1">
      <c r="A13" s="154"/>
      <c r="B13" s="249" t="str">
        <f>Resumen!B15</f>
        <v>2.6.2.2.2.4</v>
      </c>
      <c r="C13" s="175" t="s">
        <v>127</v>
      </c>
      <c r="D13" s="175"/>
      <c r="E13" s="175"/>
      <c r="F13" s="176"/>
      <c r="G13" s="177">
        <f>+G26</f>
        <v>13621.2</v>
      </c>
    </row>
    <row r="14" spans="1:7" s="153" customFormat="1" ht="20.25" customHeight="1">
      <c r="A14" s="154"/>
      <c r="B14" s="249" t="str">
        <f>Resumen!B16</f>
        <v>2.6.2.2.2.5</v>
      </c>
      <c r="C14" s="169" t="s">
        <v>128</v>
      </c>
      <c r="D14" s="169"/>
      <c r="E14" s="169"/>
      <c r="F14" s="170"/>
      <c r="G14" s="171">
        <f>+G69</f>
        <v>1740</v>
      </c>
    </row>
    <row r="15" spans="1:7" s="153" customFormat="1" ht="20.25" customHeight="1">
      <c r="A15" s="154"/>
      <c r="B15" s="249" t="str">
        <f>Resumen!B17</f>
        <v>2.6.2.2.2.6</v>
      </c>
      <c r="C15" s="172" t="s">
        <v>129</v>
      </c>
      <c r="D15" s="172"/>
      <c r="E15" s="172"/>
      <c r="F15" s="170"/>
      <c r="G15" s="171">
        <f>+G99</f>
        <v>500</v>
      </c>
    </row>
    <row r="16" spans="1:7" s="153" customFormat="1" ht="20.25" hidden="1" customHeight="1">
      <c r="A16" s="154"/>
      <c r="B16" s="249" t="str">
        <f>Resumen!B18</f>
        <v>2.6.2.2.2.7</v>
      </c>
      <c r="C16" s="169" t="s">
        <v>130</v>
      </c>
      <c r="D16" s="169"/>
      <c r="E16" s="169"/>
      <c r="F16" s="170"/>
      <c r="G16" s="171">
        <v>0</v>
      </c>
    </row>
    <row r="17" spans="1:10" s="153" customFormat="1" ht="20.25" customHeight="1" thickBot="1">
      <c r="A17" s="154"/>
      <c r="B17" s="512" t="s">
        <v>71</v>
      </c>
      <c r="C17" s="513"/>
      <c r="D17" s="513"/>
      <c r="E17" s="513"/>
      <c r="F17" s="513"/>
      <c r="G17" s="173">
        <f>SUM(G13:G16)</f>
        <v>15861.2</v>
      </c>
      <c r="H17" s="155"/>
      <c r="I17" s="262"/>
      <c r="J17" s="155"/>
    </row>
    <row r="18" spans="1:10" ht="18" customHeight="1">
      <c r="B18" s="63"/>
      <c r="C18" s="63"/>
      <c r="D18" s="63"/>
      <c r="E18" s="63"/>
      <c r="F18" s="76"/>
      <c r="G18" s="53"/>
    </row>
    <row r="19" spans="1:10" ht="18" hidden="1" customHeight="1">
      <c r="B19" s="63"/>
      <c r="C19" s="63"/>
      <c r="D19" s="63"/>
      <c r="E19" s="63"/>
      <c r="F19" s="76"/>
      <c r="G19" s="53"/>
    </row>
    <row r="20" spans="1:10" ht="18" hidden="1" customHeight="1">
      <c r="B20" s="63"/>
      <c r="C20" s="63"/>
      <c r="D20" s="63"/>
      <c r="E20" s="63"/>
      <c r="F20" s="76"/>
      <c r="G20" s="53"/>
    </row>
    <row r="21" spans="1:10" ht="18" hidden="1" customHeight="1">
      <c r="B21" s="63"/>
      <c r="C21" s="63"/>
      <c r="D21" s="63"/>
      <c r="E21" s="63"/>
      <c r="F21" s="76"/>
      <c r="G21" s="53"/>
    </row>
    <row r="22" spans="1:10" ht="27" customHeight="1">
      <c r="A22" s="525" t="s">
        <v>40</v>
      </c>
      <c r="B22" s="526"/>
      <c r="C22" s="526"/>
      <c r="D22" s="526"/>
      <c r="E22" s="526"/>
      <c r="F22" s="526"/>
      <c r="G22" s="526"/>
    </row>
    <row r="23" spans="1:10" ht="12" customHeight="1">
      <c r="A23" s="213"/>
      <c r="B23" s="214"/>
      <c r="C23" s="215"/>
      <c r="D23" s="214"/>
      <c r="E23" s="216"/>
      <c r="F23" s="214"/>
      <c r="G23" s="214"/>
    </row>
    <row r="24" spans="1:10" ht="27" customHeight="1">
      <c r="A24" s="525" t="s">
        <v>65</v>
      </c>
      <c r="B24" s="525"/>
      <c r="C24" s="525"/>
      <c r="D24" s="525"/>
      <c r="E24" s="525"/>
      <c r="F24" s="525"/>
      <c r="G24" s="525"/>
    </row>
    <row r="25" spans="1:10" ht="12.75" customHeight="1">
      <c r="A25" s="217"/>
      <c r="B25" s="217"/>
      <c r="C25" s="218"/>
      <c r="D25" s="219"/>
      <c r="E25" s="220"/>
      <c r="F25" s="217"/>
      <c r="G25" s="217"/>
    </row>
    <row r="26" spans="1:10" s="153" customFormat="1" ht="15.75">
      <c r="A26" s="205" t="s">
        <v>184</v>
      </c>
      <c r="B26" s="206"/>
      <c r="C26" s="207"/>
      <c r="D26" s="207"/>
      <c r="E26" s="208"/>
      <c r="F26" s="208" t="s">
        <v>0</v>
      </c>
      <c r="G26" s="209">
        <f>+G28+G51</f>
        <v>13621.2</v>
      </c>
      <c r="H26" s="178"/>
    </row>
    <row r="27" spans="1:10" s="153" customFormat="1" ht="15.75">
      <c r="A27" s="196"/>
      <c r="B27" s="193"/>
      <c r="C27" s="182"/>
      <c r="D27" s="182"/>
      <c r="E27" s="183"/>
      <c r="F27" s="183"/>
      <c r="G27" s="184"/>
      <c r="H27" s="178"/>
      <c r="I27" s="155"/>
    </row>
    <row r="28" spans="1:10" ht="18" customHeight="1">
      <c r="A28" s="185">
        <v>1.01</v>
      </c>
      <c r="B28" s="186" t="s">
        <v>11</v>
      </c>
      <c r="C28" s="187"/>
      <c r="D28" s="187"/>
      <c r="E28" s="189"/>
      <c r="F28" s="190" t="s">
        <v>0</v>
      </c>
      <c r="G28" s="191">
        <f>+G30</f>
        <v>12368</v>
      </c>
      <c r="I28" s="221"/>
    </row>
    <row r="29" spans="1:10" ht="12.75" customHeight="1">
      <c r="A29" s="77"/>
      <c r="B29" s="78"/>
      <c r="C29" s="73"/>
      <c r="D29" s="73"/>
      <c r="E29" s="74"/>
      <c r="F29" s="73"/>
      <c r="G29" s="73"/>
    </row>
    <row r="30" spans="1:10" ht="12.75" customHeight="1">
      <c r="A30" s="79" t="s">
        <v>12</v>
      </c>
      <c r="B30" s="80" t="s">
        <v>13</v>
      </c>
      <c r="C30" s="73"/>
      <c r="D30" s="73"/>
      <c r="E30" s="74"/>
      <c r="F30" s="113" t="s">
        <v>0</v>
      </c>
      <c r="G30" s="114">
        <f>+F36+F42+F48</f>
        <v>12368</v>
      </c>
    </row>
    <row r="31" spans="1:10" ht="12.75" customHeight="1">
      <c r="A31" s="81"/>
      <c r="B31" s="66"/>
      <c r="C31" s="73"/>
      <c r="D31" s="73"/>
      <c r="E31" s="74"/>
      <c r="F31" s="73"/>
      <c r="G31" s="73"/>
    </row>
    <row r="32" spans="1:10" ht="12.75" customHeight="1">
      <c r="A32" s="52"/>
      <c r="B32" s="80" t="s">
        <v>42</v>
      </c>
      <c r="C32" s="66"/>
      <c r="D32" s="66"/>
      <c r="E32" s="82"/>
      <c r="F32" s="66"/>
      <c r="G32" s="73"/>
    </row>
    <row r="33" spans="1:9" ht="12.75" customHeight="1">
      <c r="A33" s="52"/>
      <c r="B33" s="80"/>
      <c r="C33" s="66"/>
      <c r="D33" s="66"/>
      <c r="E33" s="82"/>
      <c r="F33" s="66"/>
      <c r="G33" s="73"/>
    </row>
    <row r="34" spans="1:9" ht="12.75" customHeight="1">
      <c r="A34" s="81"/>
      <c r="B34" s="83" t="s">
        <v>43</v>
      </c>
      <c r="C34" s="84" t="s">
        <v>44</v>
      </c>
      <c r="D34" s="84" t="s">
        <v>45</v>
      </c>
      <c r="E34" s="84" t="s">
        <v>14</v>
      </c>
      <c r="F34" s="374" t="s">
        <v>4</v>
      </c>
      <c r="G34" s="73"/>
      <c r="I34" s="222"/>
    </row>
    <row r="35" spans="1:9" ht="12.75" customHeight="1">
      <c r="A35" s="52"/>
      <c r="B35" s="85" t="s">
        <v>308</v>
      </c>
      <c r="C35" s="87">
        <v>1</v>
      </c>
      <c r="D35" s="87">
        <v>2</v>
      </c>
      <c r="E35" s="87">
        <v>5200</v>
      </c>
      <c r="F35" s="86">
        <f>+C35*D35*E35</f>
        <v>10400</v>
      </c>
      <c r="G35" s="396"/>
    </row>
    <row r="36" spans="1:9" ht="12.75" customHeight="1">
      <c r="A36" s="55"/>
      <c r="B36" s="516" t="s">
        <v>3</v>
      </c>
      <c r="C36" s="516"/>
      <c r="D36" s="516"/>
      <c r="E36" s="516"/>
      <c r="F36" s="225">
        <f>SUM(F35:F35)</f>
        <v>10400</v>
      </c>
      <c r="G36" s="66"/>
    </row>
    <row r="37" spans="1:9" ht="12.75" customHeight="1">
      <c r="A37" s="52"/>
      <c r="B37" s="73"/>
      <c r="C37" s="73"/>
      <c r="D37" s="73"/>
      <c r="E37" s="74"/>
      <c r="F37" s="73" t="s">
        <v>188</v>
      </c>
      <c r="G37" s="73"/>
    </row>
    <row r="38" spans="1:9" ht="12.75" customHeight="1">
      <c r="A38" s="52"/>
      <c r="B38" s="80" t="s">
        <v>418</v>
      </c>
      <c r="C38" s="66"/>
      <c r="D38" s="66"/>
      <c r="E38" s="82"/>
      <c r="F38" s="66"/>
      <c r="G38" s="73"/>
    </row>
    <row r="39" spans="1:9" ht="12.75" customHeight="1">
      <c r="A39" s="52"/>
      <c r="B39" s="80"/>
      <c r="C39" s="66"/>
      <c r="D39" s="66"/>
      <c r="E39" s="82"/>
      <c r="F39" s="66"/>
      <c r="G39" s="73"/>
    </row>
    <row r="40" spans="1:9" ht="12.75" customHeight="1">
      <c r="A40" s="81"/>
      <c r="B40" s="83" t="s">
        <v>43</v>
      </c>
      <c r="C40" s="393" t="s">
        <v>44</v>
      </c>
      <c r="D40" s="393" t="s">
        <v>45</v>
      </c>
      <c r="E40" s="393" t="s">
        <v>14</v>
      </c>
      <c r="F40" s="393" t="s">
        <v>4</v>
      </c>
      <c r="G40" s="73"/>
      <c r="I40" s="222"/>
    </row>
    <row r="41" spans="1:9" ht="12.75" customHeight="1">
      <c r="A41" s="52"/>
      <c r="B41" s="85" t="s">
        <v>308</v>
      </c>
      <c r="C41" s="87">
        <v>1</v>
      </c>
      <c r="D41" s="87">
        <v>2</v>
      </c>
      <c r="E41" s="87">
        <f>+E35*0.13</f>
        <v>676</v>
      </c>
      <c r="F41" s="86">
        <f>+C41*D41*E41</f>
        <v>1352</v>
      </c>
      <c r="G41" s="396"/>
    </row>
    <row r="42" spans="1:9" ht="12.75" customHeight="1">
      <c r="A42" s="55"/>
      <c r="B42" s="516" t="s">
        <v>3</v>
      </c>
      <c r="C42" s="516"/>
      <c r="D42" s="516"/>
      <c r="E42" s="516"/>
      <c r="F42" s="225">
        <f>SUM(F41:F41)</f>
        <v>1352</v>
      </c>
      <c r="G42" s="66"/>
    </row>
    <row r="43" spans="1:9" ht="12.75" customHeight="1">
      <c r="A43" s="52"/>
      <c r="B43" s="73"/>
      <c r="C43" s="73"/>
      <c r="D43" s="73"/>
      <c r="E43" s="74"/>
      <c r="F43" s="73"/>
      <c r="G43" s="73"/>
    </row>
    <row r="44" spans="1:9" ht="12.75" customHeight="1">
      <c r="A44" s="52"/>
      <c r="B44" s="80" t="s">
        <v>419</v>
      </c>
      <c r="C44" s="66"/>
      <c r="D44" s="66"/>
      <c r="E44" s="82"/>
      <c r="F44" s="66"/>
      <c r="G44" s="73"/>
    </row>
    <row r="45" spans="1:9" ht="12.75" customHeight="1">
      <c r="A45" s="52"/>
      <c r="B45" s="80"/>
      <c r="C45" s="66"/>
      <c r="D45" s="66"/>
      <c r="E45" s="82"/>
      <c r="F45" s="66"/>
      <c r="G45" s="73"/>
    </row>
    <row r="46" spans="1:9" ht="12.75" customHeight="1">
      <c r="A46" s="81"/>
      <c r="B46" s="83" t="s">
        <v>43</v>
      </c>
      <c r="C46" s="393" t="s">
        <v>44</v>
      </c>
      <c r="D46" s="393" t="s">
        <v>45</v>
      </c>
      <c r="E46" s="393" t="s">
        <v>14</v>
      </c>
      <c r="F46" s="393" t="s">
        <v>4</v>
      </c>
      <c r="G46" s="73"/>
      <c r="I46" s="222"/>
    </row>
    <row r="47" spans="1:9" ht="12.75" customHeight="1">
      <c r="A47" s="52"/>
      <c r="B47" s="85" t="s">
        <v>308</v>
      </c>
      <c r="C47" s="87">
        <v>1</v>
      </c>
      <c r="D47" s="87">
        <v>2</v>
      </c>
      <c r="E47" s="87">
        <v>308</v>
      </c>
      <c r="F47" s="86">
        <f>+C47*D47*E47</f>
        <v>616</v>
      </c>
      <c r="G47" s="396"/>
    </row>
    <row r="48" spans="1:9" ht="12.75" customHeight="1">
      <c r="A48" s="55"/>
      <c r="B48" s="516" t="s">
        <v>3</v>
      </c>
      <c r="C48" s="516"/>
      <c r="D48" s="516"/>
      <c r="E48" s="516"/>
      <c r="F48" s="225">
        <f>SUM(F47:F47)</f>
        <v>616</v>
      </c>
      <c r="G48" s="66"/>
    </row>
    <row r="49" spans="1:8" ht="12.75" customHeight="1">
      <c r="A49" s="52"/>
      <c r="B49" s="73"/>
      <c r="C49" s="73"/>
      <c r="D49" s="73"/>
      <c r="E49" s="74"/>
      <c r="F49" s="73"/>
      <c r="G49" s="73"/>
    </row>
    <row r="50" spans="1:8" ht="15.75" customHeight="1">
      <c r="A50" s="52"/>
      <c r="B50" s="73"/>
      <c r="C50" s="73"/>
      <c r="D50" s="73"/>
      <c r="E50" s="74"/>
      <c r="F50" s="73"/>
      <c r="G50" s="73"/>
    </row>
    <row r="51" spans="1:8" ht="18" customHeight="1">
      <c r="A51" s="185"/>
      <c r="B51" s="186" t="s">
        <v>19</v>
      </c>
      <c r="C51" s="187"/>
      <c r="D51" s="187"/>
      <c r="E51" s="189"/>
      <c r="F51" s="190" t="s">
        <v>0</v>
      </c>
      <c r="G51" s="191">
        <f>+G53+G61</f>
        <v>1253.2</v>
      </c>
    </row>
    <row r="52" spans="1:8" ht="12.75" customHeight="1">
      <c r="A52" s="77"/>
      <c r="B52" s="78"/>
      <c r="C52" s="73"/>
      <c r="D52" s="73"/>
      <c r="E52" s="74"/>
      <c r="F52" s="73"/>
      <c r="G52" s="73"/>
      <c r="H52" s="160"/>
    </row>
    <row r="53" spans="1:8" ht="12.75" customHeight="1">
      <c r="A53" s="79" t="s">
        <v>12</v>
      </c>
      <c r="B53" s="80" t="s">
        <v>122</v>
      </c>
      <c r="C53" s="73"/>
      <c r="D53" s="73"/>
      <c r="E53" s="74"/>
      <c r="F53" s="113" t="s">
        <v>0</v>
      </c>
      <c r="G53" s="114">
        <f>+F59</f>
        <v>936</v>
      </c>
    </row>
    <row r="54" spans="1:8" ht="12.75" customHeight="1">
      <c r="A54" s="79"/>
      <c r="B54" s="80"/>
      <c r="C54" s="73"/>
      <c r="D54" s="73"/>
      <c r="E54" s="74"/>
      <c r="F54" s="73"/>
      <c r="G54" s="73"/>
    </row>
    <row r="55" spans="1:8" ht="12.75" customHeight="1">
      <c r="A55" s="81"/>
      <c r="B55" s="80" t="s">
        <v>42</v>
      </c>
      <c r="C55" s="66"/>
      <c r="D55" s="66"/>
      <c r="E55" s="82"/>
      <c r="F55" s="73"/>
      <c r="G55" s="73"/>
    </row>
    <row r="56" spans="1:8" ht="12.75" customHeight="1">
      <c r="A56" s="81"/>
      <c r="B56" s="80"/>
      <c r="C56" s="66"/>
      <c r="D56" s="66"/>
      <c r="E56" s="82"/>
      <c r="F56" s="73"/>
      <c r="G56" s="73"/>
    </row>
    <row r="57" spans="1:8" ht="12.75" customHeight="1">
      <c r="A57" s="52"/>
      <c r="B57" s="83" t="s">
        <v>43</v>
      </c>
      <c r="C57" s="84" t="s">
        <v>44</v>
      </c>
      <c r="D57" s="84" t="s">
        <v>45</v>
      </c>
      <c r="E57" s="84" t="s">
        <v>14</v>
      </c>
      <c r="F57" s="84" t="s">
        <v>4</v>
      </c>
      <c r="G57" s="73"/>
    </row>
    <row r="58" spans="1:8" ht="12.75" customHeight="1">
      <c r="A58" s="52"/>
      <c r="B58" s="104" t="str">
        <f>B35</f>
        <v>SUPERVISOR (ING. CIVIL, ARQUITECTO)</v>
      </c>
      <c r="C58" s="87">
        <f>+C35</f>
        <v>1</v>
      </c>
      <c r="D58" s="87">
        <f>+D35</f>
        <v>2</v>
      </c>
      <c r="E58" s="87">
        <f>+(E35)*0.09</f>
        <v>468</v>
      </c>
      <c r="F58" s="86">
        <f>+C58*D58*E58</f>
        <v>936</v>
      </c>
      <c r="G58" s="73"/>
    </row>
    <row r="59" spans="1:8" ht="12.75" customHeight="1">
      <c r="A59" s="52"/>
      <c r="B59" s="524" t="s">
        <v>3</v>
      </c>
      <c r="C59" s="524"/>
      <c r="D59" s="524"/>
      <c r="E59" s="524"/>
      <c r="F59" s="225">
        <f>SUM(F58:F58)</f>
        <v>936</v>
      </c>
      <c r="G59" s="73"/>
    </row>
    <row r="60" spans="1:8" ht="13.5" customHeight="1">
      <c r="A60" s="52"/>
      <c r="B60" s="89"/>
      <c r="C60" s="89"/>
      <c r="D60" s="89"/>
      <c r="E60" s="74"/>
      <c r="F60" s="73"/>
      <c r="G60" s="73"/>
    </row>
    <row r="61" spans="1:8" ht="12.75" customHeight="1">
      <c r="A61" s="90" t="s">
        <v>15</v>
      </c>
      <c r="B61" s="80" t="s">
        <v>420</v>
      </c>
      <c r="C61" s="73"/>
      <c r="D61" s="73"/>
      <c r="E61" s="74"/>
      <c r="F61" s="113" t="s">
        <v>0</v>
      </c>
      <c r="G61" s="114">
        <f>+F67</f>
        <v>317.2</v>
      </c>
    </row>
    <row r="62" spans="1:8" ht="12.75" customHeight="1">
      <c r="A62" s="79"/>
      <c r="B62" s="80"/>
      <c r="C62" s="73"/>
      <c r="D62" s="73"/>
      <c r="E62" s="74"/>
      <c r="F62" s="73"/>
      <c r="G62" s="73"/>
    </row>
    <row r="63" spans="1:8" ht="12.75" customHeight="1">
      <c r="A63" s="52"/>
      <c r="B63" s="80" t="s">
        <v>42</v>
      </c>
      <c r="C63" s="66"/>
      <c r="D63" s="66"/>
      <c r="E63" s="82"/>
      <c r="F63" s="73"/>
      <c r="G63" s="73"/>
    </row>
    <row r="64" spans="1:8" ht="12.75" customHeight="1">
      <c r="A64" s="52"/>
      <c r="B64" s="80"/>
      <c r="C64" s="66"/>
      <c r="D64" s="66"/>
      <c r="E64" s="82"/>
      <c r="F64" s="73"/>
      <c r="G64" s="73"/>
    </row>
    <row r="65" spans="1:8" ht="12.75" customHeight="1">
      <c r="A65" s="52"/>
      <c r="B65" s="83" t="s">
        <v>43</v>
      </c>
      <c r="C65" s="84" t="s">
        <v>44</v>
      </c>
      <c r="D65" s="84" t="s">
        <v>45</v>
      </c>
      <c r="E65" s="84" t="s">
        <v>14</v>
      </c>
      <c r="F65" s="84" t="s">
        <v>4</v>
      </c>
      <c r="G65" s="73"/>
    </row>
    <row r="66" spans="1:8" ht="12.75" customHeight="1">
      <c r="A66" s="52"/>
      <c r="B66" s="104" t="str">
        <f>B35</f>
        <v>SUPERVISOR (ING. CIVIL, ARQUITECTO)</v>
      </c>
      <c r="C66" s="87">
        <f>+C35</f>
        <v>1</v>
      </c>
      <c r="D66" s="87">
        <f>+D58</f>
        <v>2</v>
      </c>
      <c r="E66" s="87">
        <f>+(E35)*0.0305</f>
        <v>158.6</v>
      </c>
      <c r="F66" s="85">
        <f>+C66*D66*E66</f>
        <v>317.2</v>
      </c>
      <c r="G66" s="73"/>
    </row>
    <row r="67" spans="1:8" ht="12.75" customHeight="1">
      <c r="A67" s="52"/>
      <c r="B67" s="511" t="s">
        <v>3</v>
      </c>
      <c r="C67" s="511"/>
      <c r="D67" s="511"/>
      <c r="E67" s="511"/>
      <c r="F67" s="225">
        <f>SUM(F66:F66)</f>
        <v>317.2</v>
      </c>
      <c r="G67" s="73"/>
    </row>
    <row r="68" spans="1:8" ht="12.75" customHeight="1">
      <c r="A68" s="52"/>
      <c r="B68" s="89"/>
      <c r="C68" s="73"/>
      <c r="D68" s="89"/>
      <c r="E68" s="74"/>
      <c r="F68" s="73"/>
      <c r="G68" s="73"/>
    </row>
    <row r="69" spans="1:8" s="153" customFormat="1" ht="15.75">
      <c r="A69" s="210" t="s">
        <v>185</v>
      </c>
      <c r="B69" s="211"/>
      <c r="C69" s="207"/>
      <c r="D69" s="207"/>
      <c r="E69" s="208"/>
      <c r="F69" s="208" t="s">
        <v>0</v>
      </c>
      <c r="G69" s="209">
        <f>+G71+G80+G92</f>
        <v>1740</v>
      </c>
      <c r="H69" s="178"/>
    </row>
    <row r="70" spans="1:8" ht="15.75" customHeight="1">
      <c r="A70" s="71"/>
      <c r="B70" s="72"/>
      <c r="C70" s="73"/>
      <c r="D70" s="73"/>
      <c r="E70" s="74"/>
      <c r="F70" s="75"/>
      <c r="G70" s="76"/>
    </row>
    <row r="71" spans="1:8" ht="12.75" customHeight="1">
      <c r="A71" s="90">
        <v>1</v>
      </c>
      <c r="B71" s="80" t="s">
        <v>38</v>
      </c>
      <c r="C71" s="73"/>
      <c r="D71" s="73"/>
      <c r="E71" s="74"/>
      <c r="F71" s="113" t="s">
        <v>0</v>
      </c>
      <c r="G71" s="114">
        <f>F78</f>
        <v>165</v>
      </c>
    </row>
    <row r="72" spans="1:8" ht="12.75" customHeight="1">
      <c r="A72" s="79"/>
      <c r="B72" s="80"/>
      <c r="C72" s="73"/>
      <c r="D72" s="73"/>
      <c r="E72" s="74"/>
      <c r="F72" s="73"/>
      <c r="G72" s="73"/>
      <c r="H72" s="160"/>
    </row>
    <row r="73" spans="1:8" ht="12.75" customHeight="1">
      <c r="A73" s="52"/>
      <c r="B73" s="118" t="s">
        <v>23</v>
      </c>
      <c r="C73" s="118" t="s">
        <v>2</v>
      </c>
      <c r="D73" s="118" t="s">
        <v>24</v>
      </c>
      <c r="E73" s="118" t="s">
        <v>5</v>
      </c>
      <c r="F73" s="118" t="s">
        <v>4</v>
      </c>
      <c r="G73" s="105"/>
    </row>
    <row r="74" spans="1:8" ht="13.5" customHeight="1">
      <c r="A74" s="42"/>
      <c r="B74" s="135" t="s">
        <v>101</v>
      </c>
      <c r="C74" s="394" t="s">
        <v>2</v>
      </c>
      <c r="D74" s="395">
        <v>1</v>
      </c>
      <c r="E74" s="395">
        <v>35</v>
      </c>
      <c r="F74" s="400">
        <f>+D74*E74</f>
        <v>35</v>
      </c>
      <c r="G74" s="24"/>
    </row>
    <row r="75" spans="1:8" ht="13.5" customHeight="1">
      <c r="A75" s="42"/>
      <c r="B75" s="316" t="s">
        <v>291</v>
      </c>
      <c r="C75" s="317" t="s">
        <v>2</v>
      </c>
      <c r="D75" s="317">
        <v>1</v>
      </c>
      <c r="E75" s="317">
        <v>35</v>
      </c>
      <c r="F75" s="401">
        <f>+D75*E75</f>
        <v>35</v>
      </c>
      <c r="G75" s="24"/>
    </row>
    <row r="76" spans="1:8" ht="13.5" customHeight="1">
      <c r="A76" s="42"/>
      <c r="B76" s="316" t="s">
        <v>421</v>
      </c>
      <c r="C76" s="317" t="s">
        <v>2</v>
      </c>
      <c r="D76" s="317">
        <v>2</v>
      </c>
      <c r="E76" s="317">
        <v>35</v>
      </c>
      <c r="F76" s="401">
        <f>+D76*E76</f>
        <v>70</v>
      </c>
      <c r="G76" s="24"/>
    </row>
    <row r="77" spans="1:8" ht="12.75" customHeight="1">
      <c r="A77" s="52"/>
      <c r="B77" s="316" t="s">
        <v>292</v>
      </c>
      <c r="C77" s="317" t="s">
        <v>2</v>
      </c>
      <c r="D77" s="317">
        <v>1</v>
      </c>
      <c r="E77" s="317">
        <v>25</v>
      </c>
      <c r="F77" s="401">
        <f t="shared" ref="F77" si="0">+D77*E77</f>
        <v>25</v>
      </c>
      <c r="G77" s="91"/>
    </row>
    <row r="78" spans="1:8" ht="12.75" customHeight="1">
      <c r="A78" s="52"/>
      <c r="B78" s="511" t="s">
        <v>3</v>
      </c>
      <c r="C78" s="511"/>
      <c r="D78" s="511"/>
      <c r="E78" s="511"/>
      <c r="F78" s="402">
        <f>SUM(F74:F77)</f>
        <v>165</v>
      </c>
      <c r="G78" s="91"/>
    </row>
    <row r="79" spans="1:8" ht="12.75" customHeight="1">
      <c r="A79" s="52"/>
      <c r="B79" s="105"/>
      <c r="C79" s="105"/>
      <c r="D79" s="105"/>
      <c r="E79" s="105"/>
      <c r="F79" s="105"/>
      <c r="G79" s="91"/>
    </row>
    <row r="80" spans="1:8" ht="12.75" customHeight="1">
      <c r="A80" s="90">
        <v>2</v>
      </c>
      <c r="B80" s="80" t="s">
        <v>53</v>
      </c>
      <c r="C80" s="73"/>
      <c r="D80" s="73"/>
      <c r="E80" s="74"/>
      <c r="F80" s="113" t="s">
        <v>0</v>
      </c>
      <c r="G80" s="114">
        <f>+F90</f>
        <v>125</v>
      </c>
    </row>
    <row r="81" spans="1:10" ht="12.75" customHeight="1">
      <c r="A81" s="79"/>
      <c r="B81" s="80"/>
      <c r="C81" s="73"/>
      <c r="D81" s="73"/>
      <c r="E81" s="74"/>
      <c r="F81" s="73"/>
      <c r="G81" s="66"/>
    </row>
    <row r="82" spans="1:10" ht="12.75" customHeight="1">
      <c r="A82" s="52"/>
      <c r="B82" s="83" t="s">
        <v>51</v>
      </c>
      <c r="C82" s="84" t="s">
        <v>59</v>
      </c>
      <c r="D82" s="84" t="s">
        <v>24</v>
      </c>
      <c r="E82" s="84" t="s">
        <v>5</v>
      </c>
      <c r="F82" s="84" t="s">
        <v>4</v>
      </c>
      <c r="G82" s="66"/>
    </row>
    <row r="83" spans="1:10" ht="12.75" customHeight="1">
      <c r="A83" s="52"/>
      <c r="B83" s="403" t="s">
        <v>56</v>
      </c>
      <c r="C83" s="395" t="s">
        <v>2</v>
      </c>
      <c r="D83" s="395">
        <v>2</v>
      </c>
      <c r="E83" s="395">
        <v>10</v>
      </c>
      <c r="F83" s="403">
        <f t="shared" ref="F83:F89" si="1">+D83*E83</f>
        <v>20</v>
      </c>
      <c r="G83" s="66"/>
    </row>
    <row r="84" spans="1:10" ht="12.75" customHeight="1">
      <c r="A84" s="52"/>
      <c r="B84" s="403" t="s">
        <v>107</v>
      </c>
      <c r="C84" s="395" t="s">
        <v>2</v>
      </c>
      <c r="D84" s="395">
        <v>2</v>
      </c>
      <c r="E84" s="395">
        <v>1.5</v>
      </c>
      <c r="F84" s="403">
        <f t="shared" si="1"/>
        <v>3</v>
      </c>
      <c r="G84" s="66"/>
    </row>
    <row r="85" spans="1:10" ht="12.75" customHeight="1">
      <c r="A85" s="52"/>
      <c r="B85" s="403" t="s">
        <v>99</v>
      </c>
      <c r="C85" s="395" t="s">
        <v>2</v>
      </c>
      <c r="D85" s="395">
        <v>2</v>
      </c>
      <c r="E85" s="395">
        <v>2</v>
      </c>
      <c r="F85" s="403">
        <f t="shared" si="1"/>
        <v>4</v>
      </c>
      <c r="G85" s="66"/>
    </row>
    <row r="86" spans="1:10" ht="12.75" customHeight="1">
      <c r="A86" s="52"/>
      <c r="B86" s="403" t="s">
        <v>304</v>
      </c>
      <c r="C86" s="395" t="s">
        <v>2</v>
      </c>
      <c r="D86" s="395">
        <v>5</v>
      </c>
      <c r="E86" s="395">
        <v>0.5</v>
      </c>
      <c r="F86" s="403">
        <f t="shared" si="1"/>
        <v>2.5</v>
      </c>
      <c r="G86" s="66"/>
    </row>
    <row r="87" spans="1:10" ht="12.75" customHeight="1">
      <c r="A87" s="52"/>
      <c r="B87" s="403" t="s">
        <v>288</v>
      </c>
      <c r="C87" s="395" t="s">
        <v>289</v>
      </c>
      <c r="D87" s="395">
        <v>0.5</v>
      </c>
      <c r="E87" s="395">
        <v>7</v>
      </c>
      <c r="F87" s="403">
        <f t="shared" si="1"/>
        <v>3.5</v>
      </c>
      <c r="G87" s="66"/>
    </row>
    <row r="88" spans="1:10" ht="12.75" customHeight="1">
      <c r="A88" s="52"/>
      <c r="B88" s="403" t="s">
        <v>305</v>
      </c>
      <c r="C88" s="395" t="s">
        <v>54</v>
      </c>
      <c r="D88" s="395">
        <v>3</v>
      </c>
      <c r="E88" s="395">
        <v>24</v>
      </c>
      <c r="F88" s="403">
        <f t="shared" si="1"/>
        <v>72</v>
      </c>
      <c r="G88" s="66"/>
    </row>
    <row r="89" spans="1:10" ht="12.75" customHeight="1">
      <c r="A89" s="52"/>
      <c r="B89" s="403" t="s">
        <v>299</v>
      </c>
      <c r="C89" s="404" t="s">
        <v>2</v>
      </c>
      <c r="D89" s="395">
        <v>1</v>
      </c>
      <c r="E89" s="395">
        <v>20</v>
      </c>
      <c r="F89" s="403">
        <f t="shared" si="1"/>
        <v>20</v>
      </c>
      <c r="G89" s="66"/>
    </row>
    <row r="90" spans="1:10" ht="12.75" customHeight="1">
      <c r="A90" s="81"/>
      <c r="B90" s="511" t="s">
        <v>3</v>
      </c>
      <c r="C90" s="511"/>
      <c r="D90" s="511"/>
      <c r="E90" s="511"/>
      <c r="F90" s="398">
        <f>SUM(F83:F89)</f>
        <v>125</v>
      </c>
      <c r="G90" s="66"/>
    </row>
    <row r="91" spans="1:10" ht="12.75" customHeight="1">
      <c r="A91" s="81"/>
      <c r="B91" s="105"/>
      <c r="C91" s="105"/>
      <c r="D91" s="105"/>
      <c r="E91" s="105"/>
      <c r="F91" s="73"/>
      <c r="G91" s="66"/>
    </row>
    <row r="92" spans="1:10" ht="12.75" customHeight="1">
      <c r="A92" s="90">
        <v>3</v>
      </c>
      <c r="B92" s="80" t="s">
        <v>120</v>
      </c>
      <c r="C92" s="73"/>
      <c r="D92" s="73"/>
      <c r="E92" s="74"/>
      <c r="F92" s="113" t="s">
        <v>0</v>
      </c>
      <c r="G92" s="114">
        <f>+F96</f>
        <v>1450</v>
      </c>
    </row>
    <row r="93" spans="1:10" ht="12.75" customHeight="1">
      <c r="A93" s="115"/>
      <c r="B93" s="116"/>
      <c r="C93" s="123"/>
      <c r="D93" s="124"/>
      <c r="E93" s="123"/>
      <c r="F93" s="124"/>
    </row>
    <row r="94" spans="1:10" ht="18" customHeight="1">
      <c r="A94" s="115"/>
      <c r="B94" s="118" t="s">
        <v>23</v>
      </c>
      <c r="C94" s="118" t="s">
        <v>2</v>
      </c>
      <c r="D94" s="118" t="s">
        <v>24</v>
      </c>
      <c r="E94" s="118" t="s">
        <v>5</v>
      </c>
      <c r="F94" s="118" t="s">
        <v>4</v>
      </c>
      <c r="G94" s="161"/>
    </row>
    <row r="95" spans="1:10" ht="13.5" customHeight="1">
      <c r="A95" s="79"/>
      <c r="B95" s="157" t="s">
        <v>139</v>
      </c>
      <c r="C95" s="87" t="s">
        <v>6</v>
      </c>
      <c r="D95" s="158">
        <v>100</v>
      </c>
      <c r="E95" s="87">
        <v>14.5</v>
      </c>
      <c r="F95" s="159">
        <f>E95*D95</f>
        <v>1450</v>
      </c>
      <c r="G95" s="73"/>
      <c r="J95" s="160"/>
    </row>
    <row r="96" spans="1:10" ht="12.75" customHeight="1">
      <c r="A96" s="117"/>
      <c r="B96" s="511" t="s">
        <v>3</v>
      </c>
      <c r="C96" s="511"/>
      <c r="D96" s="511"/>
      <c r="E96" s="511"/>
      <c r="F96" s="399">
        <f>SUM(F95:F95)</f>
        <v>1450</v>
      </c>
    </row>
    <row r="97" spans="1:10" ht="12.75" customHeight="1">
      <c r="A97" s="117"/>
      <c r="B97" s="126"/>
      <c r="C97" s="110"/>
      <c r="D97" s="127"/>
      <c r="E97" s="110"/>
      <c r="F97" s="127"/>
    </row>
    <row r="98" spans="1:10" ht="16.5" customHeight="1">
      <c r="A98" s="111"/>
      <c r="B98" s="105"/>
      <c r="C98" s="105"/>
      <c r="D98" s="105"/>
      <c r="E98" s="105"/>
      <c r="F98" s="73"/>
      <c r="G98" s="114"/>
    </row>
    <row r="99" spans="1:10" s="153" customFormat="1" ht="15.75">
      <c r="A99" s="210" t="s">
        <v>186</v>
      </c>
      <c r="B99" s="211"/>
      <c r="C99" s="207"/>
      <c r="D99" s="207"/>
      <c r="E99" s="208"/>
      <c r="F99" s="208" t="s">
        <v>0</v>
      </c>
      <c r="G99" s="209">
        <f>+G101</f>
        <v>500</v>
      </c>
      <c r="H99" s="178"/>
    </row>
    <row r="100" spans="1:10" ht="12.75" customHeight="1">
      <c r="A100" s="81"/>
      <c r="B100" s="105"/>
      <c r="C100" s="105"/>
      <c r="D100" s="105"/>
      <c r="E100" s="105"/>
      <c r="F100" s="73"/>
      <c r="G100" s="66"/>
    </row>
    <row r="101" spans="1:10" ht="12.75" customHeight="1">
      <c r="A101" s="90">
        <v>1</v>
      </c>
      <c r="B101" s="80" t="s">
        <v>31</v>
      </c>
      <c r="C101" s="73"/>
      <c r="D101" s="73"/>
      <c r="E101" s="74"/>
      <c r="F101" s="113" t="s">
        <v>0</v>
      </c>
      <c r="G101" s="114">
        <f>F106</f>
        <v>500</v>
      </c>
    </row>
    <row r="102" spans="1:10" ht="12" customHeight="1">
      <c r="A102" s="111"/>
      <c r="B102" s="80"/>
      <c r="C102" s="73"/>
      <c r="D102" s="73"/>
      <c r="E102" s="74"/>
      <c r="F102" s="73"/>
      <c r="G102" s="114"/>
    </row>
    <row r="103" spans="1:10" ht="12" customHeight="1">
      <c r="A103" s="111"/>
      <c r="B103" s="83" t="s">
        <v>51</v>
      </c>
      <c r="C103" s="84" t="s">
        <v>59</v>
      </c>
      <c r="D103" s="84" t="s">
        <v>24</v>
      </c>
      <c r="E103" s="84" t="s">
        <v>5</v>
      </c>
      <c r="F103" s="84" t="s">
        <v>4</v>
      </c>
      <c r="G103" s="114"/>
    </row>
    <row r="104" spans="1:10" ht="12" customHeight="1">
      <c r="A104" s="111"/>
      <c r="B104" s="135" t="s">
        <v>285</v>
      </c>
      <c r="C104" s="394" t="s">
        <v>275</v>
      </c>
      <c r="D104" s="394">
        <v>1</v>
      </c>
      <c r="E104" s="394">
        <v>300</v>
      </c>
      <c r="F104" s="405">
        <f>+D104*E104</f>
        <v>300</v>
      </c>
      <c r="G104" s="114"/>
    </row>
    <row r="105" spans="1:10" ht="12" customHeight="1">
      <c r="A105" s="111"/>
      <c r="B105" s="135" t="s">
        <v>294</v>
      </c>
      <c r="C105" s="394" t="s">
        <v>275</v>
      </c>
      <c r="D105" s="394">
        <v>1</v>
      </c>
      <c r="E105" s="394">
        <v>200</v>
      </c>
      <c r="F105" s="405">
        <f>+D105*E105</f>
        <v>200</v>
      </c>
      <c r="G105" s="114"/>
    </row>
    <row r="106" spans="1:10" ht="12" customHeight="1">
      <c r="A106" s="111"/>
      <c r="B106" s="508" t="s">
        <v>3</v>
      </c>
      <c r="C106" s="509"/>
      <c r="D106" s="509"/>
      <c r="E106" s="510"/>
      <c r="F106" s="398">
        <f>SUM(F104:F105)</f>
        <v>500</v>
      </c>
      <c r="G106" s="114"/>
    </row>
    <row r="107" spans="1:10" ht="12" customHeight="1">
      <c r="A107" s="111"/>
      <c r="B107" s="105"/>
      <c r="C107" s="105"/>
      <c r="D107" s="105"/>
      <c r="E107" s="105"/>
      <c r="F107" s="73"/>
      <c r="G107" s="114"/>
    </row>
    <row r="108" spans="1:10" ht="15.75">
      <c r="A108" s="523" t="s">
        <v>71</v>
      </c>
      <c r="B108" s="523"/>
      <c r="C108" s="523"/>
      <c r="D108" s="523"/>
      <c r="E108" s="523"/>
      <c r="F108" s="75" t="s">
        <v>0</v>
      </c>
      <c r="G108" s="139">
        <f>+G17</f>
        <v>15861.2</v>
      </c>
      <c r="I108" s="51">
        <v>20678.581149999998</v>
      </c>
      <c r="J108" s="160">
        <f>+I108-G108</f>
        <v>4817.3811499999974</v>
      </c>
    </row>
    <row r="111" spans="1:10" ht="15.75">
      <c r="G111" s="139"/>
    </row>
    <row r="112" spans="1:10" ht="15.75">
      <c r="G112" s="139"/>
    </row>
    <row r="113" spans="6:7" ht="15.75">
      <c r="G113" s="139"/>
    </row>
    <row r="114" spans="6:7" ht="15.75">
      <c r="G114" s="139"/>
    </row>
    <row r="115" spans="6:7" ht="15.75">
      <c r="G115" s="139"/>
    </row>
    <row r="116" spans="6:7" ht="15.75">
      <c r="F116" s="68"/>
      <c r="G116" s="139"/>
    </row>
    <row r="117" spans="6:7" ht="15.75">
      <c r="G117" s="139"/>
    </row>
    <row r="118" spans="6:7" ht="15.75">
      <c r="G118" s="139"/>
    </row>
  </sheetData>
  <mergeCells count="16">
    <mergeCell ref="A22:G22"/>
    <mergeCell ref="B106:E106"/>
    <mergeCell ref="B90:E90"/>
    <mergeCell ref="A2:G2"/>
    <mergeCell ref="B96:E96"/>
    <mergeCell ref="C9:G10"/>
    <mergeCell ref="B36:E36"/>
    <mergeCell ref="C12:F12"/>
    <mergeCell ref="B17:F17"/>
    <mergeCell ref="B42:E42"/>
    <mergeCell ref="B48:E48"/>
    <mergeCell ref="A108:E108"/>
    <mergeCell ref="B78:E78"/>
    <mergeCell ref="B67:E67"/>
    <mergeCell ref="B59:E59"/>
    <mergeCell ref="A24:G24"/>
  </mergeCells>
  <phoneticPr fontId="0" type="noConversion"/>
  <printOptions horizontalCentered="1"/>
  <pageMargins left="0.59055118110236227" right="0.19685039370078741" top="1.0629921259842521" bottom="0.98425196850393704" header="0.19685039370078741" footer="0.19685039370078741"/>
  <pageSetup paperSize="9" scale="58" orientation="portrait" horizontalDpi="4294967293" verticalDpi="180" r:id="rId1"/>
  <headerFooter alignWithMargins="0"/>
  <rowBreaks count="1" manualBreakCount="1">
    <brk id="78" max="6" man="1"/>
  </rowBreaks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indexed="43"/>
  </sheetPr>
  <dimension ref="A1:J124"/>
  <sheetViews>
    <sheetView view="pageBreakPreview" topLeftCell="A3" zoomScale="82" zoomScaleSheetLayoutView="82" workbookViewId="0">
      <selection activeCell="K98" sqref="K98"/>
    </sheetView>
  </sheetViews>
  <sheetFormatPr baseColWidth="10" defaultRowHeight="12.75"/>
  <cols>
    <col min="1" max="1" width="6" style="58" customWidth="1"/>
    <col min="2" max="2" width="46" style="58" customWidth="1"/>
    <col min="3" max="3" width="19.140625" style="58" customWidth="1"/>
    <col min="4" max="4" width="15.7109375" style="58" customWidth="1"/>
    <col min="5" max="5" width="11.140625" style="61" customWidth="1"/>
    <col min="6" max="7" width="14.7109375" style="58" customWidth="1"/>
    <col min="8" max="16384" width="11.42578125" style="51"/>
  </cols>
  <sheetData>
    <row r="1" spans="1:7" ht="20.25" customHeight="1" thickBot="1"/>
    <row r="2" spans="1:7" ht="48.75" customHeight="1" thickBot="1">
      <c r="A2" s="503" t="s">
        <v>126</v>
      </c>
      <c r="B2" s="504"/>
      <c r="C2" s="504"/>
      <c r="D2" s="504"/>
      <c r="E2" s="504"/>
      <c r="F2" s="504"/>
      <c r="G2" s="528"/>
    </row>
    <row r="3" spans="1:7" ht="18" customHeight="1" thickBot="1">
      <c r="A3" s="53"/>
      <c r="B3" s="53"/>
      <c r="C3" s="53"/>
      <c r="D3" s="53"/>
      <c r="E3" s="54"/>
      <c r="F3" s="53"/>
      <c r="G3" s="53"/>
    </row>
    <row r="4" spans="1:7" ht="18" hidden="1" customHeight="1">
      <c r="B4" s="56"/>
      <c r="C4" s="57"/>
      <c r="D4" s="53"/>
      <c r="E4" s="54"/>
      <c r="F4" s="53"/>
    </row>
    <row r="5" spans="1:7" ht="18" hidden="1" customHeight="1">
      <c r="B5" s="56" t="s">
        <v>33</v>
      </c>
      <c r="C5" s="22" t="str">
        <f>Resumen!D8</f>
        <v>:</v>
      </c>
      <c r="D5" s="53"/>
      <c r="E5" s="54"/>
      <c r="F5" s="53"/>
      <c r="G5" s="53"/>
    </row>
    <row r="6" spans="1:7" ht="18" hidden="1" customHeight="1">
      <c r="B6" s="56" t="s">
        <v>61</v>
      </c>
      <c r="C6" s="312">
        <f>Resumen!D9</f>
        <v>0</v>
      </c>
      <c r="G6" s="25" t="s">
        <v>1</v>
      </c>
    </row>
    <row r="7" spans="1:7" ht="18" hidden="1" customHeight="1">
      <c r="B7" s="21" t="s">
        <v>62</v>
      </c>
      <c r="C7" s="312">
        <f>Resumen!D10</f>
        <v>0</v>
      </c>
      <c r="G7" s="25"/>
    </row>
    <row r="8" spans="1:7" ht="18" hidden="1" customHeight="1">
      <c r="B8" s="21" t="s">
        <v>63</v>
      </c>
      <c r="C8" s="312">
        <f>Resumen!D11</f>
        <v>0</v>
      </c>
    </row>
    <row r="9" spans="1:7" ht="37.5" hidden="1" customHeight="1">
      <c r="B9" s="21" t="s">
        <v>104</v>
      </c>
      <c r="C9" s="527">
        <f>+Supervision!C9</f>
        <v>0</v>
      </c>
      <c r="D9" s="527"/>
      <c r="E9" s="527"/>
      <c r="F9" s="527"/>
      <c r="G9" s="527"/>
    </row>
    <row r="10" spans="1:7" ht="37.5" hidden="1" customHeight="1">
      <c r="B10" s="21"/>
      <c r="C10" s="527"/>
      <c r="D10" s="527"/>
      <c r="E10" s="527"/>
      <c r="F10" s="527"/>
      <c r="G10" s="527"/>
    </row>
    <row r="11" spans="1:7" ht="18" hidden="1" customHeight="1">
      <c r="B11" s="21"/>
      <c r="C11" s="22"/>
      <c r="D11" s="53"/>
    </row>
    <row r="12" spans="1:7" ht="18" hidden="1" customHeight="1" thickBot="1">
      <c r="B12" s="21"/>
      <c r="C12" s="22"/>
      <c r="D12" s="53"/>
    </row>
    <row r="13" spans="1:7" s="153" customFormat="1" ht="20.25" customHeight="1" thickBot="1">
      <c r="A13" s="154"/>
      <c r="B13" s="194" t="s">
        <v>34</v>
      </c>
      <c r="C13" s="506" t="s">
        <v>35</v>
      </c>
      <c r="D13" s="506"/>
      <c r="E13" s="506"/>
      <c r="F13" s="506"/>
      <c r="G13" s="195" t="s">
        <v>189</v>
      </c>
    </row>
    <row r="14" spans="1:7" s="153" customFormat="1" ht="20.25" customHeight="1">
      <c r="A14" s="154"/>
      <c r="B14" s="174" t="str">
        <f>Resumen!B15</f>
        <v>2.6.2.2.2.4</v>
      </c>
      <c r="C14" s="175" t="s">
        <v>127</v>
      </c>
      <c r="D14" s="175"/>
      <c r="E14" s="175"/>
      <c r="F14" s="176"/>
      <c r="G14" s="177">
        <f>+G31</f>
        <v>6895.0749999999998</v>
      </c>
    </row>
    <row r="15" spans="1:7" s="153" customFormat="1" ht="20.25" customHeight="1">
      <c r="A15" s="154"/>
      <c r="B15" s="174" t="str">
        <f>Resumen!B16</f>
        <v>2.6.2.2.2.5</v>
      </c>
      <c r="C15" s="169" t="s">
        <v>128</v>
      </c>
      <c r="D15" s="169"/>
      <c r="E15" s="169"/>
      <c r="F15" s="170"/>
      <c r="G15" s="171">
        <f>+G78</f>
        <v>482.25</v>
      </c>
    </row>
    <row r="16" spans="1:7" s="153" customFormat="1" ht="20.25" customHeight="1">
      <c r="A16" s="154"/>
      <c r="B16" s="174" t="str">
        <f>Resumen!B17</f>
        <v>2.6.2.2.2.6</v>
      </c>
      <c r="C16" s="172" t="s">
        <v>129</v>
      </c>
      <c r="D16" s="172"/>
      <c r="E16" s="172"/>
      <c r="F16" s="170"/>
      <c r="G16" s="171">
        <f>+G95</f>
        <v>750</v>
      </c>
    </row>
    <row r="17" spans="1:10" s="153" customFormat="1" ht="20.25" hidden="1" customHeight="1">
      <c r="A17" s="154"/>
      <c r="B17" s="174" t="str">
        <f>Resumen!B18</f>
        <v>2.6.2.2.2.7</v>
      </c>
      <c r="C17" s="169" t="s">
        <v>130</v>
      </c>
      <c r="D17" s="169"/>
      <c r="E17" s="169"/>
      <c r="F17" s="170"/>
      <c r="G17" s="171">
        <f>+G20</f>
        <v>0</v>
      </c>
    </row>
    <row r="18" spans="1:10" s="153" customFormat="1" ht="20.25" customHeight="1" thickBot="1">
      <c r="A18" s="154"/>
      <c r="B18" s="512" t="s">
        <v>137</v>
      </c>
      <c r="C18" s="513"/>
      <c r="D18" s="513"/>
      <c r="E18" s="513"/>
      <c r="F18" s="513"/>
      <c r="G18" s="173">
        <f>ROUND(SUM(G14:G17),2)</f>
        <v>8127.33</v>
      </c>
      <c r="H18" s="155"/>
      <c r="I18" s="262"/>
      <c r="J18" s="155"/>
    </row>
    <row r="19" spans="1:10" ht="18" customHeight="1">
      <c r="B19" s="63"/>
      <c r="C19" s="63"/>
      <c r="D19" s="63"/>
      <c r="E19" s="63"/>
      <c r="F19" s="76"/>
      <c r="G19" s="53"/>
    </row>
    <row r="20" spans="1:10" ht="18" hidden="1" customHeight="1">
      <c r="B20" s="63"/>
      <c r="C20" s="63"/>
      <c r="D20" s="63"/>
      <c r="E20" s="63"/>
      <c r="F20" s="76"/>
      <c r="G20" s="53"/>
    </row>
    <row r="21" spans="1:10" ht="18" hidden="1" customHeight="1">
      <c r="B21" s="63"/>
      <c r="C21" s="63"/>
      <c r="D21" s="63"/>
      <c r="E21" s="63"/>
      <c r="F21" s="76"/>
      <c r="G21" s="53"/>
    </row>
    <row r="22" spans="1:10" ht="18" hidden="1" customHeight="1">
      <c r="B22" s="63"/>
      <c r="C22" s="63"/>
      <c r="D22" s="63"/>
      <c r="E22" s="63"/>
      <c r="F22" s="76"/>
      <c r="G22" s="53"/>
    </row>
    <row r="23" spans="1:10" ht="18" hidden="1" customHeight="1">
      <c r="B23" s="63"/>
      <c r="C23" s="63"/>
      <c r="D23" s="63"/>
      <c r="E23" s="63"/>
      <c r="F23" s="76"/>
      <c r="G23" s="53"/>
    </row>
    <row r="24" spans="1:10" ht="18" hidden="1" customHeight="1">
      <c r="B24" s="63"/>
      <c r="C24" s="63"/>
      <c r="D24" s="63"/>
      <c r="E24" s="63"/>
      <c r="F24" s="76"/>
      <c r="G24" s="53"/>
    </row>
    <row r="25" spans="1:10" ht="18" hidden="1" customHeight="1">
      <c r="A25" s="65"/>
      <c r="B25" s="65"/>
      <c r="C25" s="55"/>
      <c r="D25" s="66"/>
      <c r="E25" s="67"/>
      <c r="F25" s="55"/>
    </row>
    <row r="26" spans="1:10" ht="27" customHeight="1">
      <c r="A26" s="514" t="s">
        <v>40</v>
      </c>
      <c r="B26" s="515"/>
      <c r="C26" s="515"/>
      <c r="D26" s="515"/>
      <c r="E26" s="515"/>
      <c r="F26" s="515"/>
      <c r="G26" s="515"/>
    </row>
    <row r="27" spans="1:10" ht="12" customHeight="1">
      <c r="A27" s="198"/>
      <c r="B27" s="199"/>
      <c r="C27" s="200"/>
      <c r="D27" s="199"/>
      <c r="E27" s="201"/>
      <c r="F27" s="199"/>
      <c r="G27" s="199"/>
    </row>
    <row r="28" spans="1:10" ht="27" customHeight="1">
      <c r="A28" s="514" t="s">
        <v>135</v>
      </c>
      <c r="B28" s="514"/>
      <c r="C28" s="514"/>
      <c r="D28" s="514"/>
      <c r="E28" s="514"/>
      <c r="F28" s="514"/>
      <c r="G28" s="514"/>
    </row>
    <row r="29" spans="1:10" ht="27" hidden="1" customHeight="1">
      <c r="A29" s="266"/>
      <c r="B29" s="266"/>
      <c r="C29" s="266"/>
      <c r="D29" s="266"/>
      <c r="E29" s="266"/>
      <c r="F29" s="266"/>
      <c r="G29" s="266"/>
    </row>
    <row r="30" spans="1:10" ht="12.75" customHeight="1">
      <c r="A30" s="107"/>
      <c r="B30" s="107"/>
      <c r="C30" s="108"/>
      <c r="D30" s="109"/>
      <c r="E30" s="110"/>
      <c r="F30" s="107"/>
      <c r="G30" s="107"/>
    </row>
    <row r="31" spans="1:10" s="153" customFormat="1" ht="15.75">
      <c r="A31" s="205" t="s">
        <v>184</v>
      </c>
      <c r="B31" s="206"/>
      <c r="C31" s="207"/>
      <c r="D31" s="207"/>
      <c r="E31" s="208"/>
      <c r="F31" s="208" t="s">
        <v>0</v>
      </c>
      <c r="G31" s="209">
        <f>+G33+G58</f>
        <v>6895.0749999999998</v>
      </c>
      <c r="H31" s="178"/>
    </row>
    <row r="32" spans="1:10" s="153" customFormat="1" ht="15.75">
      <c r="A32" s="196"/>
      <c r="B32" s="193"/>
      <c r="C32" s="182"/>
      <c r="D32" s="182"/>
      <c r="E32" s="183"/>
      <c r="F32" s="183"/>
      <c r="G32" s="184"/>
      <c r="H32" s="178"/>
    </row>
    <row r="33" spans="1:7" ht="18" customHeight="1">
      <c r="A33" s="185"/>
      <c r="B33" s="186" t="s">
        <v>11</v>
      </c>
      <c r="C33" s="187"/>
      <c r="D33" s="187"/>
      <c r="E33" s="189"/>
      <c r="F33" s="190" t="s">
        <v>0</v>
      </c>
      <c r="G33" s="191">
        <f>+F42+F49+F56</f>
        <v>6274.5</v>
      </c>
    </row>
    <row r="34" spans="1:7" ht="12.75" customHeight="1">
      <c r="A34" s="77"/>
      <c r="B34" s="78"/>
      <c r="C34" s="73"/>
      <c r="D34" s="73"/>
      <c r="E34" s="74"/>
      <c r="F34" s="73"/>
      <c r="G34" s="73"/>
    </row>
    <row r="35" spans="1:7" ht="12.75" customHeight="1">
      <c r="A35" s="79" t="s">
        <v>12</v>
      </c>
      <c r="B35" s="80" t="s">
        <v>13</v>
      </c>
      <c r="C35" s="73"/>
      <c r="D35" s="73"/>
      <c r="E35" s="74"/>
      <c r="F35" s="73"/>
      <c r="G35" s="73"/>
    </row>
    <row r="36" spans="1:7" ht="12.75" customHeight="1">
      <c r="A36" s="81"/>
      <c r="B36" s="66"/>
      <c r="C36" s="73"/>
      <c r="D36" s="73"/>
      <c r="E36" s="74"/>
      <c r="F36" s="73"/>
      <c r="G36" s="73"/>
    </row>
    <row r="37" spans="1:7" ht="12.75" customHeight="1">
      <c r="A37" s="52"/>
      <c r="B37" s="80" t="s">
        <v>42</v>
      </c>
      <c r="C37" s="66"/>
      <c r="D37" s="66"/>
      <c r="E37" s="82"/>
      <c r="F37" s="66"/>
      <c r="G37" s="73"/>
    </row>
    <row r="38" spans="1:7" ht="12.75" customHeight="1">
      <c r="A38" s="52"/>
      <c r="B38" s="80"/>
      <c r="C38" s="66"/>
      <c r="D38" s="66"/>
      <c r="E38" s="82"/>
      <c r="F38" s="66"/>
      <c r="G38" s="73"/>
    </row>
    <row r="39" spans="1:7" ht="12.75" customHeight="1">
      <c r="A39" s="81"/>
      <c r="B39" s="83" t="s">
        <v>43</v>
      </c>
      <c r="C39" s="84" t="s">
        <v>44</v>
      </c>
      <c r="D39" s="84" t="s">
        <v>45</v>
      </c>
      <c r="E39" s="84" t="s">
        <v>14</v>
      </c>
      <c r="F39" s="84" t="s">
        <v>4</v>
      </c>
      <c r="G39" s="73"/>
    </row>
    <row r="40" spans="1:7" ht="12.75" customHeight="1">
      <c r="A40" s="81"/>
      <c r="B40" s="86" t="s">
        <v>243</v>
      </c>
      <c r="C40" s="394">
        <v>1</v>
      </c>
      <c r="D40" s="394">
        <v>0.5</v>
      </c>
      <c r="E40" s="394">
        <v>5300</v>
      </c>
      <c r="F40" s="86">
        <f>+C40*D40*E40</f>
        <v>2650</v>
      </c>
      <c r="G40" s="73"/>
    </row>
    <row r="41" spans="1:7" ht="12.75" customHeight="1">
      <c r="A41" s="52"/>
      <c r="B41" s="86" t="s">
        <v>242</v>
      </c>
      <c r="C41" s="394">
        <v>1</v>
      </c>
      <c r="D41" s="394">
        <v>0.5</v>
      </c>
      <c r="E41" s="394">
        <v>5000</v>
      </c>
      <c r="F41" s="86">
        <f>+C41*D41*E41</f>
        <v>2500</v>
      </c>
      <c r="G41" s="73"/>
    </row>
    <row r="42" spans="1:7" ht="12.75" customHeight="1">
      <c r="A42" s="55"/>
      <c r="B42" s="516" t="s">
        <v>3</v>
      </c>
      <c r="C42" s="516"/>
      <c r="D42" s="516"/>
      <c r="E42" s="516"/>
      <c r="F42" s="225">
        <f>SUM(F40:F41)</f>
        <v>5150</v>
      </c>
      <c r="G42" s="66"/>
    </row>
    <row r="43" spans="1:7" ht="12.75" customHeight="1">
      <c r="A43" s="52"/>
      <c r="B43" s="73"/>
      <c r="C43" s="73"/>
      <c r="D43" s="73"/>
      <c r="E43" s="74"/>
      <c r="F43" s="73"/>
      <c r="G43" s="73"/>
    </row>
    <row r="44" spans="1:7" ht="12.75" customHeight="1">
      <c r="A44" s="52"/>
      <c r="B44" s="80" t="s">
        <v>418</v>
      </c>
      <c r="C44" s="66"/>
      <c r="D44" s="66"/>
      <c r="E44" s="82"/>
      <c r="F44" s="66"/>
      <c r="G44" s="73"/>
    </row>
    <row r="45" spans="1:7" ht="12.75" customHeight="1">
      <c r="A45" s="52"/>
      <c r="B45" s="80"/>
      <c r="C45" s="66"/>
      <c r="D45" s="66"/>
      <c r="E45" s="82"/>
      <c r="F45" s="66"/>
      <c r="G45" s="73"/>
    </row>
    <row r="46" spans="1:7" ht="12.75" customHeight="1">
      <c r="A46" s="52"/>
      <c r="B46" s="83" t="s">
        <v>43</v>
      </c>
      <c r="C46" s="393" t="s">
        <v>44</v>
      </c>
      <c r="D46" s="393" t="s">
        <v>45</v>
      </c>
      <c r="E46" s="393" t="s">
        <v>14</v>
      </c>
      <c r="F46" s="393" t="s">
        <v>4</v>
      </c>
      <c r="G46" s="73"/>
    </row>
    <row r="47" spans="1:7" ht="12.75" customHeight="1">
      <c r="A47" s="52"/>
      <c r="B47" s="86" t="s">
        <v>243</v>
      </c>
      <c r="C47" s="394">
        <v>1</v>
      </c>
      <c r="D47" s="394">
        <v>0.5</v>
      </c>
      <c r="E47" s="394">
        <f>+E40*0.13</f>
        <v>689</v>
      </c>
      <c r="F47" s="86">
        <f>+C47*D47*E47</f>
        <v>344.5</v>
      </c>
      <c r="G47" s="73"/>
    </row>
    <row r="48" spans="1:7" ht="12.75" customHeight="1">
      <c r="A48" s="52"/>
      <c r="B48" s="86" t="s">
        <v>242</v>
      </c>
      <c r="C48" s="394">
        <v>1</v>
      </c>
      <c r="D48" s="394">
        <v>0.5</v>
      </c>
      <c r="E48" s="394">
        <f>+E41*0.13</f>
        <v>650</v>
      </c>
      <c r="F48" s="86">
        <f>+C48*D48*E48</f>
        <v>325</v>
      </c>
      <c r="G48" s="73"/>
    </row>
    <row r="49" spans="1:7" ht="12.75" customHeight="1">
      <c r="A49" s="52"/>
      <c r="B49" s="516" t="s">
        <v>3</v>
      </c>
      <c r="C49" s="516"/>
      <c r="D49" s="516"/>
      <c r="E49" s="516"/>
      <c r="F49" s="225">
        <f>SUM(F47:F48)</f>
        <v>669.5</v>
      </c>
      <c r="G49" s="73"/>
    </row>
    <row r="50" spans="1:7" ht="12.75" customHeight="1">
      <c r="A50" s="52"/>
      <c r="B50" s="73"/>
      <c r="C50" s="73"/>
      <c r="D50" s="73"/>
      <c r="E50" s="74"/>
      <c r="F50" s="73"/>
      <c r="G50" s="73"/>
    </row>
    <row r="51" spans="1:7" ht="12.75" customHeight="1">
      <c r="A51" s="52"/>
      <c r="B51" s="80" t="s">
        <v>419</v>
      </c>
      <c r="C51" s="66"/>
      <c r="D51" s="66"/>
      <c r="E51" s="82"/>
      <c r="F51" s="66"/>
      <c r="G51" s="73"/>
    </row>
    <row r="52" spans="1:7" ht="12.75" customHeight="1">
      <c r="A52" s="52"/>
      <c r="B52" s="80"/>
      <c r="C52" s="66"/>
      <c r="D52" s="66"/>
      <c r="E52" s="82"/>
      <c r="F52" s="66"/>
      <c r="G52" s="73"/>
    </row>
    <row r="53" spans="1:7" ht="12.75" customHeight="1">
      <c r="A53" s="52"/>
      <c r="B53" s="83" t="s">
        <v>43</v>
      </c>
      <c r="C53" s="393" t="s">
        <v>44</v>
      </c>
      <c r="D53" s="393" t="s">
        <v>45</v>
      </c>
      <c r="E53" s="393" t="s">
        <v>14</v>
      </c>
      <c r="F53" s="393" t="s">
        <v>4</v>
      </c>
      <c r="G53" s="73"/>
    </row>
    <row r="54" spans="1:7" ht="12.75" customHeight="1">
      <c r="A54" s="52"/>
      <c r="B54" s="86" t="s">
        <v>243</v>
      </c>
      <c r="C54" s="394">
        <v>1</v>
      </c>
      <c r="D54" s="394">
        <v>0.5</v>
      </c>
      <c r="E54" s="394">
        <v>483</v>
      </c>
      <c r="F54" s="86">
        <f>+C54*D54*E54</f>
        <v>241.5</v>
      </c>
      <c r="G54" s="73"/>
    </row>
    <row r="55" spans="1:7" ht="12.75" customHeight="1">
      <c r="A55" s="52"/>
      <c r="B55" s="86" t="s">
        <v>242</v>
      </c>
      <c r="C55" s="394">
        <v>1</v>
      </c>
      <c r="D55" s="394">
        <v>0.5</v>
      </c>
      <c r="E55" s="394">
        <v>427</v>
      </c>
      <c r="F55" s="86">
        <f>+C55*D55*E55</f>
        <v>213.5</v>
      </c>
      <c r="G55" s="73"/>
    </row>
    <row r="56" spans="1:7" ht="12.75" customHeight="1">
      <c r="A56" s="52"/>
      <c r="B56" s="516" t="s">
        <v>3</v>
      </c>
      <c r="C56" s="516"/>
      <c r="D56" s="516"/>
      <c r="E56" s="516"/>
      <c r="F56" s="225">
        <f>SUM(F54:F55)</f>
        <v>455</v>
      </c>
      <c r="G56" s="73"/>
    </row>
    <row r="57" spans="1:7" ht="12.75" customHeight="1">
      <c r="A57" s="52"/>
      <c r="B57" s="73"/>
      <c r="C57" s="73"/>
      <c r="D57" s="73"/>
      <c r="E57" s="74"/>
      <c r="F57" s="73"/>
      <c r="G57" s="73"/>
    </row>
    <row r="58" spans="1:7" ht="18" customHeight="1">
      <c r="A58" s="185"/>
      <c r="B58" s="186" t="s">
        <v>19</v>
      </c>
      <c r="C58" s="187"/>
      <c r="D58" s="187"/>
      <c r="E58" s="189"/>
      <c r="F58" s="190" t="s">
        <v>0</v>
      </c>
      <c r="G58" s="191">
        <f>+F67+F76</f>
        <v>620.57500000000005</v>
      </c>
    </row>
    <row r="59" spans="1:7" ht="12.75" customHeight="1">
      <c r="A59" s="77"/>
      <c r="B59" s="78"/>
      <c r="C59" s="73"/>
      <c r="D59" s="73"/>
      <c r="E59" s="74"/>
      <c r="F59" s="73"/>
      <c r="G59" s="73"/>
    </row>
    <row r="60" spans="1:7" ht="12.75" customHeight="1">
      <c r="A60" s="79" t="s">
        <v>12</v>
      </c>
      <c r="B60" s="80" t="s">
        <v>122</v>
      </c>
      <c r="C60" s="73"/>
      <c r="D60" s="73"/>
      <c r="E60" s="74"/>
      <c r="F60" s="73"/>
      <c r="G60" s="73"/>
    </row>
    <row r="61" spans="1:7" ht="12.75" customHeight="1">
      <c r="A61" s="79"/>
      <c r="B61" s="80"/>
      <c r="C61" s="73"/>
      <c r="D61" s="73"/>
      <c r="E61" s="74"/>
      <c r="F61" s="73"/>
      <c r="G61" s="73"/>
    </row>
    <row r="62" spans="1:7" ht="12.75" customHeight="1">
      <c r="A62" s="81"/>
      <c r="B62" s="80" t="s">
        <v>42</v>
      </c>
      <c r="C62" s="66"/>
      <c r="D62" s="66"/>
      <c r="E62" s="82"/>
      <c r="F62" s="73"/>
      <c r="G62" s="73"/>
    </row>
    <row r="63" spans="1:7" ht="12.75" customHeight="1">
      <c r="A63" s="81"/>
      <c r="B63" s="80"/>
      <c r="C63" s="66"/>
      <c r="D63" s="66"/>
      <c r="E63" s="82"/>
      <c r="F63" s="73"/>
      <c r="G63" s="73"/>
    </row>
    <row r="64" spans="1:7" ht="12.75" customHeight="1">
      <c r="A64" s="52"/>
      <c r="B64" s="83" t="s">
        <v>43</v>
      </c>
      <c r="C64" s="84" t="s">
        <v>44</v>
      </c>
      <c r="D64" s="84" t="s">
        <v>45</v>
      </c>
      <c r="E64" s="84" t="s">
        <v>14</v>
      </c>
      <c r="F64" s="84" t="s">
        <v>4</v>
      </c>
      <c r="G64" s="73"/>
    </row>
    <row r="65" spans="1:8" ht="12.75" customHeight="1">
      <c r="A65" s="52"/>
      <c r="B65" s="86" t="str">
        <f t="shared" ref="B65:D66" si="0">+B40</f>
        <v>LIQUIDADOR TECNICO</v>
      </c>
      <c r="C65" s="394">
        <f t="shared" si="0"/>
        <v>1</v>
      </c>
      <c r="D65" s="394">
        <f t="shared" si="0"/>
        <v>0.5</v>
      </c>
      <c r="E65" s="394">
        <f>+(E40)*0.09</f>
        <v>477</v>
      </c>
      <c r="F65" s="86">
        <f>+C65*D65*E65</f>
        <v>238.5</v>
      </c>
      <c r="G65" s="73"/>
    </row>
    <row r="66" spans="1:8" ht="12.75" customHeight="1">
      <c r="A66" s="52"/>
      <c r="B66" s="86" t="str">
        <f t="shared" si="0"/>
        <v>LIQUIDADOR FINANCIERO</v>
      </c>
      <c r="C66" s="394">
        <f t="shared" si="0"/>
        <v>1</v>
      </c>
      <c r="D66" s="394">
        <f t="shared" si="0"/>
        <v>0.5</v>
      </c>
      <c r="E66" s="394">
        <f>+(E41)*0.09</f>
        <v>450</v>
      </c>
      <c r="F66" s="86">
        <f>+C66*D66*E66</f>
        <v>225</v>
      </c>
      <c r="G66" s="73"/>
    </row>
    <row r="67" spans="1:8" ht="12.75" customHeight="1">
      <c r="A67" s="52"/>
      <c r="B67" s="524" t="s">
        <v>3</v>
      </c>
      <c r="C67" s="524"/>
      <c r="D67" s="524"/>
      <c r="E67" s="524"/>
      <c r="F67" s="225">
        <f>SUM(F65:F66)</f>
        <v>463.5</v>
      </c>
      <c r="G67" s="73"/>
    </row>
    <row r="68" spans="1:8" ht="13.5" customHeight="1">
      <c r="A68" s="52"/>
      <c r="B68" s="89"/>
      <c r="C68" s="89"/>
      <c r="D68" s="89"/>
      <c r="E68" s="74"/>
      <c r="F68" s="73"/>
      <c r="G68" s="73"/>
    </row>
    <row r="69" spans="1:8" ht="12.75" customHeight="1">
      <c r="A69" s="90" t="s">
        <v>15</v>
      </c>
      <c r="B69" s="80" t="s">
        <v>420</v>
      </c>
      <c r="C69" s="73"/>
      <c r="D69" s="73"/>
      <c r="E69" s="74"/>
      <c r="F69" s="73"/>
      <c r="G69" s="73"/>
    </row>
    <row r="70" spans="1:8" ht="12.75" customHeight="1">
      <c r="A70" s="79"/>
      <c r="B70" s="80"/>
      <c r="C70" s="73"/>
      <c r="D70" s="73"/>
      <c r="E70" s="74"/>
      <c r="F70" s="73"/>
      <c r="G70" s="73"/>
    </row>
    <row r="71" spans="1:8" ht="12.75" customHeight="1">
      <c r="A71" s="52"/>
      <c r="B71" s="80" t="s">
        <v>42</v>
      </c>
      <c r="C71" s="66"/>
      <c r="D71" s="66"/>
      <c r="E71" s="82"/>
      <c r="F71" s="73"/>
      <c r="G71" s="73"/>
    </row>
    <row r="72" spans="1:8" ht="12.75" customHeight="1">
      <c r="A72" s="52"/>
      <c r="B72" s="80"/>
      <c r="C72" s="66"/>
      <c r="D72" s="66"/>
      <c r="E72" s="82"/>
      <c r="F72" s="73"/>
      <c r="G72" s="73"/>
    </row>
    <row r="73" spans="1:8" ht="12.75" customHeight="1">
      <c r="A73" s="52"/>
      <c r="B73" s="83" t="s">
        <v>43</v>
      </c>
      <c r="C73" s="84" t="s">
        <v>44</v>
      </c>
      <c r="D73" s="84" t="s">
        <v>45</v>
      </c>
      <c r="E73" s="84" t="s">
        <v>14</v>
      </c>
      <c r="F73" s="84" t="s">
        <v>4</v>
      </c>
      <c r="G73" s="73"/>
    </row>
    <row r="74" spans="1:8" ht="12.75" customHeight="1">
      <c r="A74" s="52"/>
      <c r="B74" s="86" t="str">
        <f t="shared" ref="B74:D75" si="1">+B40</f>
        <v>LIQUIDADOR TECNICO</v>
      </c>
      <c r="C74" s="394">
        <f t="shared" si="1"/>
        <v>1</v>
      </c>
      <c r="D74" s="394">
        <f t="shared" si="1"/>
        <v>0.5</v>
      </c>
      <c r="E74" s="394">
        <f>+(E40)*0.0305</f>
        <v>161.65</v>
      </c>
      <c r="F74" s="86">
        <f>+C74*D74*E74</f>
        <v>80.825000000000003</v>
      </c>
      <c r="G74" s="73"/>
    </row>
    <row r="75" spans="1:8" ht="12.75" customHeight="1">
      <c r="A75" s="52"/>
      <c r="B75" s="86" t="str">
        <f t="shared" si="1"/>
        <v>LIQUIDADOR FINANCIERO</v>
      </c>
      <c r="C75" s="394">
        <f t="shared" si="1"/>
        <v>1</v>
      </c>
      <c r="D75" s="394">
        <f t="shared" si="1"/>
        <v>0.5</v>
      </c>
      <c r="E75" s="394">
        <f>+(E41)*0.0305</f>
        <v>152.5</v>
      </c>
      <c r="F75" s="86">
        <f>+C75*D75*E75</f>
        <v>76.25</v>
      </c>
      <c r="G75" s="73"/>
    </row>
    <row r="76" spans="1:8" ht="12.75" customHeight="1">
      <c r="A76" s="52"/>
      <c r="B76" s="511" t="s">
        <v>3</v>
      </c>
      <c r="C76" s="511"/>
      <c r="D76" s="511"/>
      <c r="E76" s="511"/>
      <c r="F76" s="225">
        <f>SUM(F74:F75)</f>
        <v>157.07499999999999</v>
      </c>
      <c r="G76" s="73"/>
    </row>
    <row r="77" spans="1:8" ht="12.75" customHeight="1">
      <c r="A77" s="52"/>
      <c r="B77" s="89"/>
      <c r="C77" s="73"/>
      <c r="D77" s="89"/>
      <c r="E77" s="74"/>
      <c r="F77" s="73"/>
      <c r="G77" s="73"/>
    </row>
    <row r="78" spans="1:8" s="153" customFormat="1" ht="15.75">
      <c r="A78" s="210" t="s">
        <v>185</v>
      </c>
      <c r="B78" s="211"/>
      <c r="C78" s="207"/>
      <c r="D78" s="207"/>
      <c r="E78" s="208"/>
      <c r="F78" s="208" t="s">
        <v>0</v>
      </c>
      <c r="G78" s="209">
        <f>+G80+G86</f>
        <v>482.25</v>
      </c>
      <c r="H78" s="178"/>
    </row>
    <row r="79" spans="1:8" ht="12.75" customHeight="1">
      <c r="A79" s="79"/>
      <c r="B79" s="80"/>
      <c r="C79" s="73"/>
      <c r="D79" s="73"/>
      <c r="E79" s="74"/>
      <c r="F79" s="73"/>
      <c r="G79" s="73"/>
    </row>
    <row r="80" spans="1:8" ht="12.75" customHeight="1">
      <c r="A80" s="90">
        <v>1</v>
      </c>
      <c r="B80" s="80" t="s">
        <v>120</v>
      </c>
      <c r="C80" s="73"/>
      <c r="D80" s="73"/>
      <c r="E80" s="74"/>
      <c r="F80" s="73" t="s">
        <v>0</v>
      </c>
      <c r="G80" s="406">
        <f>+F84</f>
        <v>290</v>
      </c>
    </row>
    <row r="81" spans="1:8" ht="12.75" customHeight="1">
      <c r="A81" s="115"/>
      <c r="B81" s="116"/>
      <c r="C81" s="123"/>
      <c r="D81" s="124"/>
      <c r="E81" s="123"/>
      <c r="F81" s="124"/>
      <c r="G81" s="407"/>
    </row>
    <row r="82" spans="1:8" ht="18" customHeight="1">
      <c r="A82" s="115"/>
      <c r="B82" s="118" t="s">
        <v>23</v>
      </c>
      <c r="C82" s="118" t="s">
        <v>2</v>
      </c>
      <c r="D82" s="118" t="s">
        <v>24</v>
      </c>
      <c r="E82" s="118" t="s">
        <v>5</v>
      </c>
      <c r="F82" s="118" t="s">
        <v>4</v>
      </c>
      <c r="G82" s="407"/>
    </row>
    <row r="83" spans="1:8" ht="18" customHeight="1">
      <c r="A83" s="115"/>
      <c r="B83" s="157" t="s">
        <v>139</v>
      </c>
      <c r="C83" s="87" t="s">
        <v>6</v>
      </c>
      <c r="D83" s="158">
        <v>20</v>
      </c>
      <c r="E83" s="87">
        <v>14.5</v>
      </c>
      <c r="F83" s="159">
        <f>+D83*E83</f>
        <v>290</v>
      </c>
      <c r="G83" s="407"/>
    </row>
    <row r="84" spans="1:8" ht="12.75" customHeight="1">
      <c r="A84" s="117"/>
      <c r="B84" s="511" t="s">
        <v>3</v>
      </c>
      <c r="C84" s="511"/>
      <c r="D84" s="511"/>
      <c r="E84" s="511"/>
      <c r="F84" s="231">
        <f>SUM(F83:F83)</f>
        <v>290</v>
      </c>
      <c r="G84" s="407"/>
    </row>
    <row r="85" spans="1:8" ht="12.75" customHeight="1">
      <c r="A85" s="117"/>
      <c r="B85" s="126"/>
      <c r="C85" s="110"/>
      <c r="D85" s="127"/>
      <c r="E85" s="110"/>
      <c r="F85" s="127"/>
      <c r="G85" s="407"/>
    </row>
    <row r="86" spans="1:8" ht="12.75" customHeight="1">
      <c r="A86" s="90">
        <v>2</v>
      </c>
      <c r="B86" s="80" t="s">
        <v>53</v>
      </c>
      <c r="C86" s="73"/>
      <c r="D86" s="73"/>
      <c r="E86" s="74"/>
      <c r="F86" s="73" t="s">
        <v>0</v>
      </c>
      <c r="G86" s="406">
        <f>+F93</f>
        <v>192.25</v>
      </c>
    </row>
    <row r="87" spans="1:8" ht="12.75" customHeight="1">
      <c r="A87" s="79"/>
      <c r="B87" s="80"/>
      <c r="C87" s="73"/>
      <c r="D87" s="73"/>
      <c r="E87" s="74"/>
      <c r="F87" s="73"/>
      <c r="G87" s="66"/>
    </row>
    <row r="88" spans="1:8" ht="12.75" customHeight="1">
      <c r="A88" s="52"/>
      <c r="B88" s="83" t="s">
        <v>51</v>
      </c>
      <c r="C88" s="84" t="s">
        <v>59</v>
      </c>
      <c r="D88" s="84" t="s">
        <v>24</v>
      </c>
      <c r="E88" s="84" t="s">
        <v>5</v>
      </c>
      <c r="F88" s="84" t="s">
        <v>4</v>
      </c>
      <c r="G88" s="66"/>
    </row>
    <row r="89" spans="1:8">
      <c r="A89" s="52"/>
      <c r="B89" s="403" t="s">
        <v>98</v>
      </c>
      <c r="C89" s="395" t="s">
        <v>2</v>
      </c>
      <c r="D89" s="395">
        <v>10</v>
      </c>
      <c r="E89" s="395">
        <v>1.5</v>
      </c>
      <c r="F89" s="403">
        <f t="shared" ref="F89:F92" si="2">+D89*E89</f>
        <v>15</v>
      </c>
      <c r="G89" s="66"/>
    </row>
    <row r="90" spans="1:8" ht="12.75" customHeight="1">
      <c r="A90" s="52"/>
      <c r="B90" s="403" t="s">
        <v>56</v>
      </c>
      <c r="C90" s="395" t="s">
        <v>2</v>
      </c>
      <c r="D90" s="395">
        <v>3</v>
      </c>
      <c r="E90" s="395">
        <v>35</v>
      </c>
      <c r="F90" s="403">
        <f t="shared" si="2"/>
        <v>105</v>
      </c>
      <c r="G90" s="66"/>
    </row>
    <row r="91" spans="1:8" ht="13.5" customHeight="1">
      <c r="A91" s="52"/>
      <c r="B91" s="403" t="s">
        <v>110</v>
      </c>
      <c r="C91" s="395" t="s">
        <v>274</v>
      </c>
      <c r="D91" s="395">
        <v>0.25</v>
      </c>
      <c r="E91" s="395">
        <v>65</v>
      </c>
      <c r="F91" s="403">
        <f t="shared" si="2"/>
        <v>16.25</v>
      </c>
      <c r="G91" s="66"/>
    </row>
    <row r="92" spans="1:8" ht="12" customHeight="1">
      <c r="A92" s="52"/>
      <c r="B92" s="403" t="s">
        <v>309</v>
      </c>
      <c r="C92" s="395" t="s">
        <v>54</v>
      </c>
      <c r="D92" s="395">
        <v>2</v>
      </c>
      <c r="E92" s="395">
        <v>28</v>
      </c>
      <c r="F92" s="403">
        <f t="shared" si="2"/>
        <v>56</v>
      </c>
      <c r="G92" s="66"/>
    </row>
    <row r="93" spans="1:8" ht="12.75" customHeight="1">
      <c r="A93" s="81"/>
      <c r="B93" s="511" t="s">
        <v>3</v>
      </c>
      <c r="C93" s="511"/>
      <c r="D93" s="511"/>
      <c r="E93" s="511"/>
      <c r="F93" s="225">
        <f>SUM(F89:F92)</f>
        <v>192.25</v>
      </c>
      <c r="G93" s="66"/>
    </row>
    <row r="94" spans="1:8" ht="15.75" customHeight="1">
      <c r="A94" s="111"/>
      <c r="B94" s="79"/>
      <c r="C94" s="80"/>
      <c r="D94" s="128"/>
      <c r="E94" s="129"/>
      <c r="F94" s="113"/>
      <c r="G94" s="114"/>
    </row>
    <row r="95" spans="1:8" s="153" customFormat="1" ht="15.75">
      <c r="A95" s="210" t="s">
        <v>186</v>
      </c>
      <c r="B95" s="211"/>
      <c r="C95" s="207"/>
      <c r="D95" s="207"/>
      <c r="E95" s="208"/>
      <c r="F95" s="208" t="s">
        <v>0</v>
      </c>
      <c r="G95" s="209">
        <f>+G97</f>
        <v>750</v>
      </c>
      <c r="H95" s="178"/>
    </row>
    <row r="96" spans="1:8" ht="16.5" customHeight="1">
      <c r="A96" s="111"/>
      <c r="B96" s="132"/>
      <c r="C96" s="130"/>
      <c r="D96" s="130"/>
      <c r="E96" s="129"/>
      <c r="F96" s="113"/>
      <c r="G96" s="114"/>
    </row>
    <row r="97" spans="1:7" ht="16.5" customHeight="1">
      <c r="A97" s="90" t="s">
        <v>12</v>
      </c>
      <c r="B97" s="80" t="s">
        <v>31</v>
      </c>
      <c r="C97" s="130"/>
      <c r="D97" s="130"/>
      <c r="E97" s="129"/>
      <c r="F97" s="73" t="s">
        <v>0</v>
      </c>
      <c r="G97" s="406">
        <f>F102</f>
        <v>750</v>
      </c>
    </row>
    <row r="98" spans="1:7" ht="16.5" customHeight="1">
      <c r="A98" s="111"/>
      <c r="B98" s="83" t="s">
        <v>51</v>
      </c>
      <c r="C98" s="84" t="s">
        <v>59</v>
      </c>
      <c r="D98" s="84" t="s">
        <v>24</v>
      </c>
      <c r="E98" s="84" t="s">
        <v>5</v>
      </c>
      <c r="F98" s="84" t="s">
        <v>4</v>
      </c>
      <c r="G98" s="114"/>
    </row>
    <row r="99" spans="1:7" ht="15.75">
      <c r="A99" s="111"/>
      <c r="B99" s="135" t="s">
        <v>121</v>
      </c>
      <c r="C99" s="394" t="s">
        <v>275</v>
      </c>
      <c r="D99" s="394">
        <v>1</v>
      </c>
      <c r="E99" s="394">
        <v>500</v>
      </c>
      <c r="F99" s="405">
        <v>200</v>
      </c>
      <c r="G99" s="114"/>
    </row>
    <row r="100" spans="1:7" ht="15.75">
      <c r="A100" s="111"/>
      <c r="B100" s="135" t="s">
        <v>285</v>
      </c>
      <c r="C100" s="394" t="s">
        <v>275</v>
      </c>
      <c r="D100" s="394">
        <v>1</v>
      </c>
      <c r="E100" s="394">
        <v>250</v>
      </c>
      <c r="F100" s="405">
        <f>+D100*E100</f>
        <v>250</v>
      </c>
      <c r="G100" s="114"/>
    </row>
    <row r="101" spans="1:7" ht="15.75">
      <c r="A101" s="111"/>
      <c r="B101" s="135" t="s">
        <v>273</v>
      </c>
      <c r="C101" s="394" t="s">
        <v>275</v>
      </c>
      <c r="D101" s="394">
        <v>1</v>
      </c>
      <c r="E101" s="394">
        <v>300</v>
      </c>
      <c r="F101" s="405">
        <f>+D101*E101</f>
        <v>300</v>
      </c>
      <c r="G101" s="114"/>
    </row>
    <row r="102" spans="1:7" ht="15.75">
      <c r="A102" s="111"/>
      <c r="B102" s="508" t="s">
        <v>3</v>
      </c>
      <c r="C102" s="509"/>
      <c r="D102" s="509"/>
      <c r="E102" s="510"/>
      <c r="F102" s="225">
        <f>SUM(F99:F101)</f>
        <v>750</v>
      </c>
      <c r="G102" s="114"/>
    </row>
    <row r="103" spans="1:7" ht="12" customHeight="1">
      <c r="A103" s="117"/>
      <c r="B103" s="69"/>
      <c r="C103" s="69"/>
      <c r="D103" s="69"/>
      <c r="E103" s="69"/>
      <c r="F103" s="131"/>
    </row>
    <row r="104" spans="1:7" ht="15" hidden="1" customHeight="1">
      <c r="A104" s="71" t="s">
        <v>32</v>
      </c>
      <c r="B104" s="72" t="s">
        <v>117</v>
      </c>
      <c r="C104" s="73"/>
      <c r="D104" s="73"/>
      <c r="E104" s="8"/>
      <c r="F104" s="75" t="s">
        <v>0</v>
      </c>
      <c r="G104" s="133">
        <f>F112</f>
        <v>6445.5</v>
      </c>
    </row>
    <row r="105" spans="1:7" ht="12.75" hidden="1" customHeight="1">
      <c r="A105" s="79"/>
      <c r="B105" s="80"/>
      <c r="C105" s="73"/>
      <c r="D105" s="73"/>
      <c r="E105" s="74"/>
      <c r="F105" s="73"/>
      <c r="G105" s="66"/>
    </row>
    <row r="106" spans="1:7" ht="12.75" hidden="1" customHeight="1">
      <c r="A106" s="79">
        <v>1</v>
      </c>
      <c r="B106" s="80" t="s">
        <v>76</v>
      </c>
      <c r="C106" s="73"/>
      <c r="D106" s="73"/>
      <c r="E106" s="74"/>
      <c r="F106" s="73"/>
      <c r="G106" s="66"/>
    </row>
    <row r="107" spans="1:7" ht="12.75" hidden="1" customHeight="1">
      <c r="A107" s="79"/>
      <c r="B107" s="80"/>
      <c r="C107" s="73"/>
      <c r="D107" s="73"/>
      <c r="E107" s="74"/>
      <c r="F107" s="73"/>
      <c r="G107" s="66"/>
    </row>
    <row r="108" spans="1:7" ht="12.75" hidden="1" customHeight="1">
      <c r="A108" s="79"/>
      <c r="B108" s="83" t="s">
        <v>51</v>
      </c>
      <c r="C108" s="84" t="s">
        <v>59</v>
      </c>
      <c r="D108" s="84" t="s">
        <v>24</v>
      </c>
      <c r="E108" s="84" t="s">
        <v>5</v>
      </c>
      <c r="F108" s="84" t="s">
        <v>4</v>
      </c>
      <c r="G108" s="66"/>
    </row>
    <row r="109" spans="1:7" ht="14.25" hidden="1" customHeight="1">
      <c r="A109" s="79"/>
      <c r="B109" s="106" t="s">
        <v>115</v>
      </c>
      <c r="C109" s="7" t="s">
        <v>59</v>
      </c>
      <c r="D109" s="74">
        <v>1</v>
      </c>
      <c r="E109" s="44">
        <v>165</v>
      </c>
      <c r="F109" s="134">
        <f>D109*E109</f>
        <v>165</v>
      </c>
      <c r="G109" s="66"/>
    </row>
    <row r="110" spans="1:7" ht="14.25" hidden="1" customHeight="1">
      <c r="A110" s="79"/>
      <c r="B110" s="135" t="s">
        <v>114</v>
      </c>
      <c r="C110" s="7" t="s">
        <v>59</v>
      </c>
      <c r="D110" s="74">
        <v>1</v>
      </c>
      <c r="E110" s="44">
        <v>5600</v>
      </c>
      <c r="F110" s="134">
        <f>D110*E110</f>
        <v>5600</v>
      </c>
      <c r="G110" s="66"/>
    </row>
    <row r="111" spans="1:7" ht="12.75" hidden="1" customHeight="1">
      <c r="A111" s="79"/>
      <c r="B111" s="136" t="s">
        <v>106</v>
      </c>
      <c r="C111" s="88" t="s">
        <v>59</v>
      </c>
      <c r="D111" s="137">
        <v>1</v>
      </c>
      <c r="E111" s="88">
        <v>680.5</v>
      </c>
      <c r="F111" s="138">
        <f>+D111*E111</f>
        <v>680.5</v>
      </c>
      <c r="G111" s="66"/>
    </row>
    <row r="112" spans="1:7" ht="12.75" hidden="1" customHeight="1">
      <c r="A112" s="79"/>
      <c r="B112" s="508" t="s">
        <v>3</v>
      </c>
      <c r="C112" s="509"/>
      <c r="D112" s="509"/>
      <c r="E112" s="510"/>
      <c r="F112" s="86">
        <f>SUM(F109:F111)</f>
        <v>6445.5</v>
      </c>
      <c r="G112" s="66"/>
    </row>
    <row r="113" spans="1:10" ht="12.75" hidden="1" customHeight="1">
      <c r="A113" s="81"/>
      <c r="B113" s="105"/>
      <c r="C113" s="105"/>
      <c r="D113" s="105"/>
      <c r="E113" s="105"/>
      <c r="F113" s="73"/>
      <c r="G113" s="66"/>
    </row>
    <row r="114" spans="1:10" ht="12.75" hidden="1" customHeight="1">
      <c r="A114" s="81"/>
      <c r="B114" s="105"/>
      <c r="C114" s="105"/>
      <c r="D114" s="105"/>
      <c r="E114" s="105"/>
      <c r="F114" s="73"/>
      <c r="G114" s="66"/>
    </row>
    <row r="115" spans="1:10" ht="15.75">
      <c r="A115" s="523" t="s">
        <v>137</v>
      </c>
      <c r="B115" s="523"/>
      <c r="C115" s="523"/>
      <c r="D115" s="523"/>
      <c r="E115" s="523"/>
      <c r="F115" s="75" t="s">
        <v>0</v>
      </c>
      <c r="G115" s="139">
        <f>+G18</f>
        <v>8127.33</v>
      </c>
      <c r="I115" s="51">
        <v>8271.43246</v>
      </c>
      <c r="J115" s="160">
        <f>+I115-G115</f>
        <v>144.10246000000006</v>
      </c>
    </row>
    <row r="118" spans="1:10" ht="15.75">
      <c r="G118" s="139"/>
    </row>
    <row r="119" spans="1:10" ht="15.75">
      <c r="G119" s="139"/>
    </row>
    <row r="120" spans="1:10" ht="15.75">
      <c r="A120" s="228" t="s">
        <v>252</v>
      </c>
      <c r="B120" s="228" t="s">
        <v>244</v>
      </c>
      <c r="C120" s="229" t="s">
        <v>246</v>
      </c>
      <c r="G120" s="139"/>
    </row>
    <row r="121" spans="1:10" ht="15.75">
      <c r="A121" s="227">
        <v>1</v>
      </c>
      <c r="B121" s="226" t="s">
        <v>245</v>
      </c>
      <c r="C121" s="226" t="s">
        <v>247</v>
      </c>
      <c r="G121" s="139"/>
    </row>
    <row r="122" spans="1:10" ht="15.75">
      <c r="A122" s="227">
        <v>2</v>
      </c>
      <c r="B122" s="226" t="s">
        <v>248</v>
      </c>
      <c r="C122" s="226" t="s">
        <v>249</v>
      </c>
      <c r="G122" s="139"/>
    </row>
    <row r="123" spans="1:10" ht="15.75">
      <c r="A123" s="227">
        <v>3</v>
      </c>
      <c r="B123" s="226" t="s">
        <v>250</v>
      </c>
      <c r="C123" s="226" t="s">
        <v>251</v>
      </c>
      <c r="F123" s="68"/>
      <c r="G123" s="139"/>
    </row>
    <row r="124" spans="1:10">
      <c r="A124" s="61"/>
    </row>
  </sheetData>
  <mergeCells count="16">
    <mergeCell ref="A115:E115"/>
    <mergeCell ref="B76:E76"/>
    <mergeCell ref="B67:E67"/>
    <mergeCell ref="B42:E42"/>
    <mergeCell ref="B84:E84"/>
    <mergeCell ref="B102:E102"/>
    <mergeCell ref="B112:E112"/>
    <mergeCell ref="B49:E49"/>
    <mergeCell ref="B56:E56"/>
    <mergeCell ref="A2:G2"/>
    <mergeCell ref="A28:G28"/>
    <mergeCell ref="C13:F13"/>
    <mergeCell ref="B18:F18"/>
    <mergeCell ref="B93:E93"/>
    <mergeCell ref="A26:G26"/>
    <mergeCell ref="C9:G10"/>
  </mergeCells>
  <phoneticPr fontId="0" type="noConversion"/>
  <printOptions horizontalCentered="1"/>
  <pageMargins left="0.59055118110236227" right="0.19685039370078741" top="0.6692913385826772" bottom="0.78740157480314965" header="0.19685039370078741" footer="0.19685039370078741"/>
  <pageSetup paperSize="9" scale="75" orientation="portrait" horizontalDpi="4294967293" verticalDpi="180" r:id="rId1"/>
  <headerFooter alignWithMargins="0"/>
  <rowBreaks count="1" manualBreakCount="1">
    <brk id="116" max="6" man="1"/>
  </rowBreaks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indexed="43"/>
  </sheetPr>
  <dimension ref="A1:I208"/>
  <sheetViews>
    <sheetView view="pageBreakPreview" topLeftCell="A4" zoomScale="82" zoomScaleSheetLayoutView="82" workbookViewId="0">
      <selection activeCell="B16" sqref="B16"/>
    </sheetView>
  </sheetViews>
  <sheetFormatPr baseColWidth="10" defaultRowHeight="12.75"/>
  <cols>
    <col min="1" max="1" width="7.5703125" style="58" customWidth="1"/>
    <col min="2" max="2" width="57" style="58" customWidth="1"/>
    <col min="3" max="3" width="18" style="58" customWidth="1"/>
    <col min="4" max="4" width="15.7109375" style="58" customWidth="1"/>
    <col min="5" max="5" width="11.140625" style="61" customWidth="1"/>
    <col min="6" max="6" width="14.7109375" style="58" customWidth="1"/>
    <col min="7" max="7" width="16.85546875" style="58" customWidth="1"/>
    <col min="8" max="16384" width="11.42578125" style="51"/>
  </cols>
  <sheetData>
    <row r="1" spans="1:7" ht="27" customHeight="1">
      <c r="A1" s="520" t="s">
        <v>148</v>
      </c>
      <c r="B1" s="520"/>
      <c r="C1" s="520"/>
      <c r="D1" s="520"/>
      <c r="E1" s="520"/>
      <c r="F1" s="520"/>
      <c r="G1" s="520"/>
    </row>
    <row r="2" spans="1:7" ht="18" customHeight="1">
      <c r="A2" s="53"/>
      <c r="B2" s="53"/>
      <c r="C2" s="53"/>
      <c r="D2" s="53"/>
      <c r="E2" s="54"/>
      <c r="F2" s="53"/>
      <c r="G2" s="53"/>
    </row>
    <row r="3" spans="1:7" ht="18" customHeight="1">
      <c r="B3" s="56"/>
      <c r="C3" s="57"/>
      <c r="D3" s="53"/>
      <c r="E3" s="54"/>
      <c r="F3" s="53"/>
    </row>
    <row r="4" spans="1:7" ht="18" customHeight="1">
      <c r="B4" s="56" t="s">
        <v>33</v>
      </c>
      <c r="C4" s="22" t="str">
        <f>Resumen!D8</f>
        <v>:</v>
      </c>
      <c r="D4" s="53"/>
      <c r="E4" s="54"/>
      <c r="F4" s="53"/>
      <c r="G4" s="53"/>
    </row>
    <row r="5" spans="1:7" ht="18" customHeight="1">
      <c r="B5" s="56" t="s">
        <v>60</v>
      </c>
      <c r="C5" s="23" t="e">
        <f>Resumen!#REF!</f>
        <v>#REF!</v>
      </c>
      <c r="G5" s="25" t="s">
        <v>1</v>
      </c>
    </row>
    <row r="6" spans="1:7" ht="18" customHeight="1">
      <c r="B6" s="56" t="s">
        <v>61</v>
      </c>
      <c r="C6" s="22">
        <f>Resumen!D9</f>
        <v>0</v>
      </c>
      <c r="G6" s="25" t="s">
        <v>1</v>
      </c>
    </row>
    <row r="7" spans="1:7" ht="18" customHeight="1">
      <c r="B7" s="21" t="s">
        <v>62</v>
      </c>
      <c r="C7" s="22">
        <f>Resumen!D10</f>
        <v>0</v>
      </c>
      <c r="G7" s="25"/>
    </row>
    <row r="8" spans="1:7" ht="18" customHeight="1">
      <c r="B8" s="21" t="s">
        <v>63</v>
      </c>
      <c r="C8" s="22">
        <f>Resumen!D11</f>
        <v>0</v>
      </c>
    </row>
    <row r="9" spans="1:7" ht="18" customHeight="1">
      <c r="B9" s="21" t="s">
        <v>104</v>
      </c>
      <c r="C9" s="521" t="str">
        <f>Resumen!D12</f>
        <v xml:space="preserve"> “ADQUISICIÓN DE TERRENO; EN EL(LA) I.E. LA SALLE - ABANCAY DISTRITO DE ABANCAY, PROVINCIA ABANCAY, DEPARTAMENTO APURÍMAC "</v>
      </c>
      <c r="D9" s="521"/>
      <c r="E9" s="521"/>
      <c r="F9" s="521"/>
      <c r="G9" s="521"/>
    </row>
    <row r="10" spans="1:7" ht="18" customHeight="1">
      <c r="B10" s="21"/>
      <c r="C10" s="521"/>
      <c r="D10" s="521"/>
      <c r="E10" s="521"/>
      <c r="F10" s="521"/>
      <c r="G10" s="521"/>
    </row>
    <row r="11" spans="1:7" ht="18" customHeight="1">
      <c r="B11" s="21"/>
      <c r="C11" s="22"/>
      <c r="D11" s="53"/>
    </row>
    <row r="12" spans="1:7" ht="18" customHeight="1" thickBot="1">
      <c r="B12" s="21"/>
      <c r="C12" s="22"/>
      <c r="D12" s="53"/>
    </row>
    <row r="13" spans="1:7" s="153" customFormat="1" ht="20.25" customHeight="1" thickBot="1">
      <c r="A13" s="154"/>
      <c r="B13" s="194" t="s">
        <v>34</v>
      </c>
      <c r="C13" s="506" t="s">
        <v>35</v>
      </c>
      <c r="D13" s="506"/>
      <c r="E13" s="506"/>
      <c r="F13" s="506"/>
      <c r="G13" s="195" t="s">
        <v>190</v>
      </c>
    </row>
    <row r="14" spans="1:7" s="153" customFormat="1" ht="20.25" customHeight="1">
      <c r="A14" s="154"/>
      <c r="B14" s="174" t="str">
        <f>Resumen!B15</f>
        <v>2.6.2.2.2.4</v>
      </c>
      <c r="C14" s="175" t="s">
        <v>127</v>
      </c>
      <c r="D14" s="175"/>
      <c r="E14" s="175"/>
      <c r="F14" s="176"/>
      <c r="G14" s="177">
        <f>+G26</f>
        <v>10359.6</v>
      </c>
    </row>
    <row r="15" spans="1:7" s="153" customFormat="1" ht="20.25" customHeight="1">
      <c r="A15" s="154"/>
      <c r="B15" s="174" t="str">
        <f>Resumen!B16</f>
        <v>2.6.2.2.2.5</v>
      </c>
      <c r="C15" s="169" t="s">
        <v>128</v>
      </c>
      <c r="D15" s="169"/>
      <c r="E15" s="169"/>
      <c r="F15" s="170"/>
      <c r="G15" s="171">
        <f>+G93</f>
        <v>6693.49</v>
      </c>
    </row>
    <row r="16" spans="1:7" s="153" customFormat="1" ht="20.25" customHeight="1">
      <c r="A16" s="154"/>
      <c r="B16" s="174" t="str">
        <f>Resumen!B17</f>
        <v>2.6.2.2.2.6</v>
      </c>
      <c r="C16" s="172" t="s">
        <v>129</v>
      </c>
      <c r="D16" s="172"/>
      <c r="E16" s="172"/>
      <c r="F16" s="170"/>
      <c r="G16" s="171">
        <f>+G178</f>
        <v>1350</v>
      </c>
    </row>
    <row r="17" spans="1:9" s="153" customFormat="1" ht="20.25" customHeight="1">
      <c r="A17" s="154"/>
      <c r="B17" s="174" t="str">
        <f>Resumen!B18</f>
        <v>2.6.2.2.2.7</v>
      </c>
      <c r="C17" s="169" t="s">
        <v>130</v>
      </c>
      <c r="D17" s="169"/>
      <c r="E17" s="169"/>
      <c r="F17" s="170"/>
      <c r="G17" s="171"/>
    </row>
    <row r="18" spans="1:9" s="153" customFormat="1" ht="20.25" customHeight="1" thickBot="1">
      <c r="A18" s="154"/>
      <c r="B18" s="512" t="s">
        <v>239</v>
      </c>
      <c r="C18" s="513"/>
      <c r="D18" s="513"/>
      <c r="E18" s="513"/>
      <c r="F18" s="513"/>
      <c r="G18" s="173">
        <f>SUM(G14:G17)</f>
        <v>18403.09</v>
      </c>
      <c r="H18" s="155"/>
      <c r="I18" s="155"/>
    </row>
    <row r="19" spans="1:9" ht="18" customHeight="1">
      <c r="B19" s="63"/>
      <c r="C19" s="63"/>
      <c r="D19" s="63"/>
      <c r="E19" s="63"/>
      <c r="F19" s="76"/>
      <c r="G19" s="53"/>
    </row>
    <row r="20" spans="1:9" ht="18" customHeight="1">
      <c r="B20" s="63"/>
      <c r="C20" s="63"/>
      <c r="D20" s="63"/>
      <c r="E20" s="63"/>
      <c r="F20" s="76"/>
      <c r="G20" s="53"/>
    </row>
    <row r="21" spans="1:9" ht="18" customHeight="1">
      <c r="A21" s="65"/>
      <c r="B21" s="65"/>
      <c r="C21" s="55"/>
      <c r="D21" s="66"/>
      <c r="E21" s="67"/>
      <c r="F21" s="55"/>
    </row>
    <row r="22" spans="1:9" ht="27" customHeight="1">
      <c r="A22" s="514" t="s">
        <v>40</v>
      </c>
      <c r="B22" s="515"/>
      <c r="C22" s="515"/>
      <c r="D22" s="515"/>
      <c r="E22" s="515"/>
      <c r="F22" s="515"/>
      <c r="G22" s="515"/>
    </row>
    <row r="23" spans="1:9" ht="12" customHeight="1">
      <c r="A23" s="198"/>
      <c r="B23" s="199"/>
      <c r="C23" s="200"/>
      <c r="D23" s="199"/>
      <c r="E23" s="201"/>
      <c r="F23" s="199"/>
      <c r="G23" s="199"/>
    </row>
    <row r="24" spans="1:9" ht="27" customHeight="1">
      <c r="A24" s="514" t="s">
        <v>237</v>
      </c>
      <c r="B24" s="514"/>
      <c r="C24" s="514"/>
      <c r="D24" s="514"/>
      <c r="E24" s="514"/>
      <c r="F24" s="514"/>
      <c r="G24" s="514"/>
    </row>
    <row r="25" spans="1:9" ht="12.75" customHeight="1">
      <c r="A25" s="107"/>
      <c r="B25" s="107"/>
      <c r="C25" s="108"/>
      <c r="D25" s="109"/>
      <c r="E25" s="110"/>
      <c r="F25" s="107"/>
      <c r="G25" s="107"/>
    </row>
    <row r="26" spans="1:9" s="153" customFormat="1" ht="15.75">
      <c r="A26" s="205" t="s">
        <v>184</v>
      </c>
      <c r="B26" s="206"/>
      <c r="C26" s="207"/>
      <c r="D26" s="207"/>
      <c r="E26" s="208"/>
      <c r="F26" s="208" t="s">
        <v>0</v>
      </c>
      <c r="G26" s="209">
        <f>+G28+G40+G61+G81</f>
        <v>10359.6</v>
      </c>
      <c r="H26" s="178"/>
    </row>
    <row r="27" spans="1:9" ht="18" customHeight="1">
      <c r="A27" s="65"/>
      <c r="B27" s="65"/>
      <c r="C27" s="55"/>
      <c r="D27" s="66"/>
      <c r="E27" s="67"/>
      <c r="F27" s="55"/>
    </row>
    <row r="28" spans="1:9" ht="18" customHeight="1">
      <c r="A28" s="185"/>
      <c r="B28" s="186" t="s">
        <v>11</v>
      </c>
      <c r="C28" s="187"/>
      <c r="D28" s="187"/>
      <c r="E28" s="189"/>
      <c r="F28" s="190" t="s">
        <v>0</v>
      </c>
      <c r="G28" s="191">
        <f>+F37</f>
        <v>7200</v>
      </c>
    </row>
    <row r="29" spans="1:9" ht="12.75" customHeight="1">
      <c r="A29" s="77"/>
      <c r="B29" s="78"/>
      <c r="C29" s="73"/>
      <c r="D29" s="73"/>
      <c r="E29" s="74"/>
      <c r="F29" s="73"/>
      <c r="G29" s="73"/>
    </row>
    <row r="30" spans="1:9" ht="12.75" customHeight="1">
      <c r="A30" s="79" t="s">
        <v>12</v>
      </c>
      <c r="B30" s="80" t="s">
        <v>13</v>
      </c>
      <c r="C30" s="73"/>
      <c r="D30" s="73"/>
      <c r="E30" s="74"/>
      <c r="F30" s="73"/>
      <c r="G30" s="73"/>
    </row>
    <row r="31" spans="1:9" ht="12.75" customHeight="1">
      <c r="A31" s="81"/>
      <c r="B31" s="66"/>
      <c r="C31" s="73"/>
      <c r="D31" s="73"/>
      <c r="E31" s="74"/>
      <c r="F31" s="73"/>
      <c r="G31" s="73"/>
    </row>
    <row r="32" spans="1:9" ht="12.75" customHeight="1">
      <c r="A32" s="52"/>
      <c r="B32" s="80" t="s">
        <v>42</v>
      </c>
      <c r="C32" s="66"/>
      <c r="D32" s="66"/>
      <c r="E32" s="82"/>
      <c r="F32" s="66"/>
      <c r="G32" s="73"/>
    </row>
    <row r="33" spans="1:9" ht="12.75" customHeight="1">
      <c r="A33" s="52"/>
      <c r="B33" s="80"/>
      <c r="C33" s="66"/>
      <c r="D33" s="66"/>
      <c r="E33" s="82"/>
      <c r="F33" s="66"/>
      <c r="G33" s="73"/>
    </row>
    <row r="34" spans="1:9" ht="12.75" customHeight="1">
      <c r="A34" s="81"/>
      <c r="B34" s="83" t="s">
        <v>43</v>
      </c>
      <c r="C34" s="84" t="s">
        <v>44</v>
      </c>
      <c r="D34" s="84" t="s">
        <v>45</v>
      </c>
      <c r="E34" s="84" t="s">
        <v>14</v>
      </c>
      <c r="F34" s="84" t="s">
        <v>4</v>
      </c>
      <c r="G34" s="73"/>
    </row>
    <row r="35" spans="1:9" ht="12.75" customHeight="1">
      <c r="A35" s="81"/>
      <c r="B35" s="104" t="s">
        <v>149</v>
      </c>
      <c r="C35" s="87">
        <v>1</v>
      </c>
      <c r="D35" s="87">
        <v>6</v>
      </c>
      <c r="E35" s="87">
        <f>40*30</f>
        <v>1200</v>
      </c>
      <c r="F35" s="86">
        <f>+C35*D35*E35</f>
        <v>7200</v>
      </c>
      <c r="G35" s="73"/>
    </row>
    <row r="36" spans="1:9" ht="12.75" customHeight="1">
      <c r="A36" s="52"/>
      <c r="B36" s="104"/>
      <c r="C36" s="87"/>
      <c r="D36" s="87"/>
      <c r="E36" s="87"/>
      <c r="F36" s="85"/>
      <c r="G36" s="73"/>
    </row>
    <row r="37" spans="1:9" ht="12.75" customHeight="1">
      <c r="A37" s="55"/>
      <c r="B37" s="516" t="s">
        <v>3</v>
      </c>
      <c r="C37" s="516"/>
      <c r="D37" s="516"/>
      <c r="E37" s="516"/>
      <c r="F37" s="86">
        <f>SUM(F35:F36)</f>
        <v>7200</v>
      </c>
      <c r="G37" s="66"/>
    </row>
    <row r="38" spans="1:9" ht="12.75" customHeight="1">
      <c r="A38" s="52"/>
      <c r="B38" s="73"/>
      <c r="C38" s="73"/>
      <c r="D38" s="73"/>
      <c r="E38" s="74"/>
      <c r="F38" s="73"/>
      <c r="G38" s="73"/>
      <c r="I38" s="160"/>
    </row>
    <row r="39" spans="1:9" ht="15.75" customHeight="1">
      <c r="A39" s="52"/>
      <c r="B39" s="73"/>
      <c r="C39" s="73"/>
      <c r="D39" s="73"/>
      <c r="E39" s="74"/>
      <c r="F39" s="73"/>
      <c r="G39" s="73"/>
    </row>
    <row r="40" spans="1:9" ht="18" customHeight="1">
      <c r="A40" s="185"/>
      <c r="B40" s="186" t="s">
        <v>19</v>
      </c>
      <c r="C40" s="187"/>
      <c r="D40" s="187"/>
      <c r="E40" s="189"/>
      <c r="F40" s="190" t="s">
        <v>0</v>
      </c>
      <c r="G40" s="191">
        <f>+F49+F59</f>
        <v>759.6</v>
      </c>
    </row>
    <row r="41" spans="1:9" ht="12.75" customHeight="1">
      <c r="A41" s="77"/>
      <c r="B41" s="78"/>
      <c r="C41" s="73"/>
      <c r="D41" s="73"/>
      <c r="E41" s="74"/>
      <c r="F41" s="73"/>
      <c r="G41" s="73"/>
    </row>
    <row r="42" spans="1:9" ht="12.75" customHeight="1">
      <c r="A42" s="79" t="s">
        <v>12</v>
      </c>
      <c r="B42" s="80" t="s">
        <v>122</v>
      </c>
      <c r="C42" s="73"/>
      <c r="D42" s="73"/>
      <c r="E42" s="74"/>
      <c r="F42" s="73"/>
      <c r="G42" s="73"/>
    </row>
    <row r="43" spans="1:9" ht="12.75" customHeight="1">
      <c r="A43" s="79"/>
      <c r="B43" s="80"/>
      <c r="C43" s="73"/>
      <c r="D43" s="73"/>
      <c r="E43" s="74"/>
      <c r="F43" s="73"/>
      <c r="G43" s="73"/>
    </row>
    <row r="44" spans="1:9" ht="12.75" customHeight="1">
      <c r="A44" s="81"/>
      <c r="B44" s="80" t="s">
        <v>42</v>
      </c>
      <c r="C44" s="66"/>
      <c r="D44" s="66"/>
      <c r="E44" s="82"/>
      <c r="F44" s="73"/>
      <c r="G44" s="73"/>
    </row>
    <row r="45" spans="1:9" ht="12.75" customHeight="1">
      <c r="A45" s="81"/>
      <c r="B45" s="80"/>
      <c r="C45" s="66"/>
      <c r="D45" s="66"/>
      <c r="E45" s="82"/>
      <c r="F45" s="73"/>
      <c r="G45" s="73"/>
    </row>
    <row r="46" spans="1:9" ht="12.75" customHeight="1">
      <c r="A46" s="52"/>
      <c r="B46" s="83" t="s">
        <v>43</v>
      </c>
      <c r="C46" s="84" t="s">
        <v>44</v>
      </c>
      <c r="D46" s="84" t="s">
        <v>45</v>
      </c>
      <c r="E46" s="84" t="s">
        <v>14</v>
      </c>
      <c r="F46" s="84" t="s">
        <v>4</v>
      </c>
      <c r="G46" s="73"/>
      <c r="I46" s="160"/>
    </row>
    <row r="47" spans="1:9" ht="12.75" customHeight="1">
      <c r="A47" s="52"/>
      <c r="B47" s="86" t="str">
        <f>+B35</f>
        <v>PROMOTOR</v>
      </c>
      <c r="C47" s="87">
        <v>1</v>
      </c>
      <c r="D47" s="87">
        <f>+D35</f>
        <v>6</v>
      </c>
      <c r="E47" s="87">
        <f>+E35*0.09</f>
        <v>108</v>
      </c>
      <c r="F47" s="86">
        <f>+C47*D47*E47</f>
        <v>648</v>
      </c>
      <c r="G47" s="73"/>
      <c r="I47" s="160"/>
    </row>
    <row r="48" spans="1:9" ht="12.75" customHeight="1">
      <c r="A48" s="52"/>
      <c r="B48" s="104"/>
      <c r="C48" s="87"/>
      <c r="D48" s="87"/>
      <c r="E48" s="87"/>
      <c r="F48" s="85"/>
      <c r="G48" s="73"/>
      <c r="I48" s="160"/>
    </row>
    <row r="49" spans="1:9" ht="12.75" customHeight="1">
      <c r="A49" s="52"/>
      <c r="B49" s="524" t="s">
        <v>3</v>
      </c>
      <c r="C49" s="524"/>
      <c r="D49" s="524"/>
      <c r="E49" s="524"/>
      <c r="F49" s="86">
        <f>SUM(F47:F48)</f>
        <v>648</v>
      </c>
      <c r="G49" s="73"/>
      <c r="I49" s="160"/>
    </row>
    <row r="50" spans="1:9" ht="13.5" customHeight="1">
      <c r="A50" s="52"/>
      <c r="B50" s="89"/>
      <c r="C50" s="89"/>
      <c r="D50" s="89"/>
      <c r="E50" s="74"/>
      <c r="F50" s="73"/>
      <c r="G50" s="73"/>
      <c r="I50" s="160"/>
    </row>
    <row r="51" spans="1:9" ht="13.5" customHeight="1">
      <c r="A51" s="52"/>
      <c r="B51" s="89"/>
      <c r="C51" s="73"/>
      <c r="D51" s="89"/>
      <c r="E51" s="74"/>
      <c r="F51" s="73"/>
      <c r="G51" s="73"/>
      <c r="I51" s="160"/>
    </row>
    <row r="52" spans="1:9" ht="12.75" customHeight="1">
      <c r="A52" s="90" t="s">
        <v>15</v>
      </c>
      <c r="B52" s="80" t="s">
        <v>79</v>
      </c>
      <c r="C52" s="73"/>
      <c r="D52" s="73"/>
      <c r="E52" s="74"/>
      <c r="F52" s="73"/>
      <c r="G52" s="73"/>
      <c r="I52" s="160"/>
    </row>
    <row r="53" spans="1:9" ht="12.75" customHeight="1">
      <c r="A53" s="79"/>
      <c r="B53" s="80"/>
      <c r="C53" s="73"/>
      <c r="D53" s="73"/>
      <c r="E53" s="74"/>
      <c r="F53" s="73"/>
      <c r="G53" s="73"/>
      <c r="I53" s="160"/>
    </row>
    <row r="54" spans="1:9" ht="12.75" customHeight="1">
      <c r="A54" s="52"/>
      <c r="B54" s="80" t="s">
        <v>42</v>
      </c>
      <c r="C54" s="66"/>
      <c r="D54" s="66"/>
      <c r="E54" s="82"/>
      <c r="F54" s="73"/>
      <c r="G54" s="73"/>
    </row>
    <row r="55" spans="1:9" ht="12.75" customHeight="1">
      <c r="A55" s="52"/>
      <c r="B55" s="80"/>
      <c r="C55" s="66"/>
      <c r="D55" s="66"/>
      <c r="E55" s="82"/>
      <c r="F55" s="73"/>
      <c r="G55" s="73"/>
    </row>
    <row r="56" spans="1:9" ht="12.75" customHeight="1">
      <c r="A56" s="52"/>
      <c r="B56" s="83" t="s">
        <v>43</v>
      </c>
      <c r="C56" s="84" t="s">
        <v>44</v>
      </c>
      <c r="D56" s="84" t="s">
        <v>45</v>
      </c>
      <c r="E56" s="84" t="s">
        <v>14</v>
      </c>
      <c r="F56" s="84" t="s">
        <v>4</v>
      </c>
      <c r="G56" s="73"/>
    </row>
    <row r="57" spans="1:9" ht="12.75" customHeight="1">
      <c r="A57" s="52"/>
      <c r="B57" s="86" t="str">
        <f>+B35</f>
        <v>PROMOTOR</v>
      </c>
      <c r="C57" s="87">
        <f>+$C$35</f>
        <v>1</v>
      </c>
      <c r="D57" s="87">
        <f>+D47</f>
        <v>6</v>
      </c>
      <c r="E57" s="87">
        <f>+E35*0.0155</f>
        <v>18.600000000000001</v>
      </c>
      <c r="F57" s="86">
        <f>+C57*D57*E57</f>
        <v>111.60000000000001</v>
      </c>
      <c r="G57" s="73"/>
    </row>
    <row r="58" spans="1:9" ht="12.75" customHeight="1">
      <c r="A58" s="52"/>
      <c r="B58" s="104"/>
      <c r="C58" s="87"/>
      <c r="D58" s="87"/>
      <c r="E58" s="87"/>
      <c r="F58" s="85"/>
      <c r="G58" s="73"/>
    </row>
    <row r="59" spans="1:9" ht="12.75" customHeight="1">
      <c r="A59" s="52"/>
      <c r="B59" s="511" t="s">
        <v>3</v>
      </c>
      <c r="C59" s="511"/>
      <c r="D59" s="511"/>
      <c r="E59" s="511"/>
      <c r="F59" s="86">
        <f>SUM(F57:F58)</f>
        <v>111.60000000000001</v>
      </c>
      <c r="G59" s="73"/>
    </row>
    <row r="60" spans="1:9" ht="12.75" customHeight="1">
      <c r="A60" s="52"/>
      <c r="B60" s="89"/>
      <c r="C60" s="73"/>
      <c r="D60" s="89"/>
      <c r="E60" s="74"/>
      <c r="F60" s="73"/>
      <c r="G60" s="73"/>
    </row>
    <row r="61" spans="1:9" ht="18" customHeight="1">
      <c r="A61" s="185"/>
      <c r="B61" s="186" t="s">
        <v>21</v>
      </c>
      <c r="C61" s="187"/>
      <c r="D61" s="187"/>
      <c r="E61" s="189"/>
      <c r="F61" s="190" t="s">
        <v>0</v>
      </c>
      <c r="G61" s="191">
        <f>+F70+F79</f>
        <v>1200</v>
      </c>
    </row>
    <row r="62" spans="1:9" ht="12.75" customHeight="1">
      <c r="A62" s="79"/>
      <c r="B62" s="80"/>
      <c r="C62" s="73"/>
      <c r="D62" s="73"/>
      <c r="E62" s="74"/>
      <c r="F62" s="73"/>
      <c r="G62" s="73"/>
    </row>
    <row r="63" spans="1:9" ht="12.75" customHeight="1">
      <c r="A63" s="90" t="s">
        <v>12</v>
      </c>
      <c r="B63" s="80" t="s">
        <v>125</v>
      </c>
      <c r="C63" s="73"/>
      <c r="D63" s="73"/>
      <c r="E63" s="74"/>
      <c r="F63" s="73"/>
      <c r="G63" s="73"/>
    </row>
    <row r="64" spans="1:9" ht="12.75" customHeight="1">
      <c r="A64" s="81"/>
      <c r="B64" s="91"/>
      <c r="C64" s="73"/>
      <c r="D64" s="73"/>
      <c r="E64" s="74"/>
      <c r="F64" s="73"/>
      <c r="G64" s="73"/>
    </row>
    <row r="65" spans="1:7" ht="12.75" customHeight="1">
      <c r="A65" s="52"/>
      <c r="B65" s="80" t="s">
        <v>42</v>
      </c>
      <c r="C65" s="66"/>
      <c r="D65" s="66"/>
      <c r="E65" s="82"/>
      <c r="F65" s="66"/>
      <c r="G65" s="73"/>
    </row>
    <row r="66" spans="1:7" ht="12.75" customHeight="1">
      <c r="A66" s="52"/>
      <c r="B66" s="80"/>
      <c r="C66" s="66"/>
      <c r="D66" s="66"/>
      <c r="E66" s="82"/>
      <c r="F66" s="66"/>
      <c r="G66" s="73"/>
    </row>
    <row r="67" spans="1:7" ht="12.75" customHeight="1">
      <c r="A67" s="52"/>
      <c r="B67" s="83" t="s">
        <v>43</v>
      </c>
      <c r="C67" s="84" t="s">
        <v>44</v>
      </c>
      <c r="D67" s="84" t="s">
        <v>45</v>
      </c>
      <c r="E67" s="84" t="s">
        <v>14</v>
      </c>
      <c r="F67" s="84" t="s">
        <v>4</v>
      </c>
      <c r="G67" s="73"/>
    </row>
    <row r="68" spans="1:7" ht="12.75" customHeight="1">
      <c r="A68" s="52"/>
      <c r="B68" s="86" t="str">
        <f>+B35</f>
        <v>PROMOTOR</v>
      </c>
      <c r="C68" s="87">
        <v>1</v>
      </c>
      <c r="D68" s="87">
        <f>+D57</f>
        <v>6</v>
      </c>
      <c r="E68" s="87">
        <f>+E35/12</f>
        <v>100</v>
      </c>
      <c r="F68" s="86">
        <f>+C68*D68*E68</f>
        <v>600</v>
      </c>
      <c r="G68" s="73"/>
    </row>
    <row r="69" spans="1:7" ht="12.75" customHeight="1">
      <c r="A69" s="55"/>
      <c r="B69" s="104"/>
      <c r="C69" s="87"/>
      <c r="D69" s="87"/>
      <c r="E69" s="87"/>
      <c r="F69" s="85"/>
      <c r="G69" s="73"/>
    </row>
    <row r="70" spans="1:7" ht="12.75" customHeight="1">
      <c r="A70" s="52"/>
      <c r="B70" s="529" t="s">
        <v>3</v>
      </c>
      <c r="C70" s="529"/>
      <c r="D70" s="529"/>
      <c r="E70" s="529"/>
      <c r="F70" s="86">
        <f>SUM(F68:F69)</f>
        <v>600</v>
      </c>
      <c r="G70" s="73"/>
    </row>
    <row r="71" spans="1:7" ht="12.75" customHeight="1">
      <c r="A71" s="79"/>
      <c r="B71" s="80"/>
      <c r="C71" s="73"/>
      <c r="D71" s="73"/>
      <c r="E71" s="74"/>
      <c r="F71" s="73"/>
      <c r="G71" s="73"/>
    </row>
    <row r="72" spans="1:7" ht="12.75" customHeight="1">
      <c r="A72" s="90" t="s">
        <v>15</v>
      </c>
      <c r="B72" s="80" t="s">
        <v>124</v>
      </c>
      <c r="C72" s="73"/>
      <c r="D72" s="73"/>
      <c r="E72" s="74"/>
      <c r="F72" s="73"/>
      <c r="G72" s="73"/>
    </row>
    <row r="73" spans="1:7" ht="12.75" customHeight="1">
      <c r="A73" s="81"/>
      <c r="B73" s="91"/>
      <c r="C73" s="73"/>
      <c r="D73" s="73"/>
      <c r="E73" s="74"/>
      <c r="F73" s="73"/>
      <c r="G73" s="73"/>
    </row>
    <row r="74" spans="1:7" ht="12.75" customHeight="1">
      <c r="A74" s="52"/>
      <c r="B74" s="80" t="s">
        <v>42</v>
      </c>
      <c r="C74" s="66"/>
      <c r="D74" s="66"/>
      <c r="E74" s="82"/>
      <c r="F74" s="66"/>
      <c r="G74" s="73"/>
    </row>
    <row r="75" spans="1:7" ht="12.75" customHeight="1">
      <c r="A75" s="52"/>
      <c r="B75" s="80"/>
      <c r="C75" s="66"/>
      <c r="D75" s="66"/>
      <c r="E75" s="82"/>
      <c r="F75" s="66"/>
      <c r="G75" s="73"/>
    </row>
    <row r="76" spans="1:7" ht="12.75" customHeight="1">
      <c r="A76" s="52"/>
      <c r="B76" s="83" t="s">
        <v>43</v>
      </c>
      <c r="C76" s="84" t="s">
        <v>44</v>
      </c>
      <c r="D76" s="84" t="s">
        <v>45</v>
      </c>
      <c r="E76" s="84" t="s">
        <v>14</v>
      </c>
      <c r="F76" s="84" t="s">
        <v>4</v>
      </c>
      <c r="G76" s="73"/>
    </row>
    <row r="77" spans="1:7" ht="12.75" customHeight="1">
      <c r="A77" s="52"/>
      <c r="B77" s="86" t="str">
        <f>+B35</f>
        <v>PROMOTOR</v>
      </c>
      <c r="C77" s="87">
        <f>+C68</f>
        <v>1</v>
      </c>
      <c r="D77" s="87">
        <f>+D68</f>
        <v>6</v>
      </c>
      <c r="E77" s="87">
        <f>+E35/12</f>
        <v>100</v>
      </c>
      <c r="F77" s="86">
        <f>+C77*D77*E77</f>
        <v>600</v>
      </c>
      <c r="G77" s="73"/>
    </row>
    <row r="78" spans="1:7" ht="12.75" customHeight="1">
      <c r="A78" s="55"/>
      <c r="B78" s="104"/>
      <c r="C78" s="87">
        <f>+$C$36</f>
        <v>0</v>
      </c>
      <c r="D78" s="87">
        <f>+D69</f>
        <v>0</v>
      </c>
      <c r="E78" s="87">
        <f>+E36/12</f>
        <v>0</v>
      </c>
      <c r="F78" s="85">
        <f>+C78*D78*E78</f>
        <v>0</v>
      </c>
      <c r="G78" s="73"/>
    </row>
    <row r="79" spans="1:7" ht="12.75" customHeight="1">
      <c r="A79" s="52"/>
      <c r="B79" s="529" t="s">
        <v>3</v>
      </c>
      <c r="C79" s="529"/>
      <c r="D79" s="529"/>
      <c r="E79" s="529"/>
      <c r="F79" s="86">
        <f>SUM(F77:F78)</f>
        <v>600</v>
      </c>
      <c r="G79" s="73"/>
    </row>
    <row r="80" spans="1:7" ht="12.75" customHeight="1">
      <c r="A80" s="79"/>
      <c r="B80" s="80"/>
      <c r="C80" s="73"/>
      <c r="D80" s="73"/>
      <c r="E80" s="74"/>
      <c r="F80" s="73"/>
      <c r="G80" s="73"/>
    </row>
    <row r="81" spans="1:8" ht="18" customHeight="1">
      <c r="A81" s="185"/>
      <c r="B81" s="186" t="s">
        <v>103</v>
      </c>
      <c r="C81" s="187"/>
      <c r="D81" s="187"/>
      <c r="E81" s="189"/>
      <c r="F81" s="190" t="s">
        <v>0</v>
      </c>
      <c r="G81" s="191">
        <f>+F90</f>
        <v>1200</v>
      </c>
    </row>
    <row r="82" spans="1:8" ht="12.75" customHeight="1">
      <c r="A82" s="79"/>
      <c r="B82" s="80"/>
      <c r="C82" s="73"/>
      <c r="D82" s="73"/>
      <c r="E82" s="74"/>
      <c r="F82" s="73"/>
      <c r="G82" s="73"/>
    </row>
    <row r="83" spans="1:8" ht="14.25" customHeight="1">
      <c r="A83" s="79" t="s">
        <v>83</v>
      </c>
      <c r="B83" s="80" t="s">
        <v>123</v>
      </c>
      <c r="C83" s="66"/>
      <c r="D83" s="66"/>
      <c r="E83" s="82"/>
      <c r="F83" s="66"/>
      <c r="G83" s="73"/>
    </row>
    <row r="84" spans="1:8" ht="12.75" customHeight="1">
      <c r="A84" s="90"/>
      <c r="B84" s="80"/>
      <c r="C84" s="66"/>
      <c r="D84" s="66"/>
      <c r="E84" s="82"/>
      <c r="F84" s="66"/>
      <c r="G84" s="73"/>
    </row>
    <row r="85" spans="1:8" ht="12.75" customHeight="1">
      <c r="A85" s="90"/>
      <c r="B85" s="80" t="s">
        <v>42</v>
      </c>
      <c r="C85" s="66"/>
      <c r="D85" s="66"/>
      <c r="E85" s="82"/>
      <c r="F85" s="66"/>
      <c r="G85" s="73"/>
    </row>
    <row r="86" spans="1:8" ht="14.25" customHeight="1">
      <c r="A86" s="52"/>
      <c r="B86" s="80"/>
      <c r="C86" s="66"/>
      <c r="D86" s="66"/>
      <c r="E86" s="82"/>
      <c r="F86" s="66"/>
      <c r="G86" s="73"/>
    </row>
    <row r="87" spans="1:8" ht="14.25" customHeight="1">
      <c r="A87" s="52"/>
      <c r="B87" s="83" t="s">
        <v>43</v>
      </c>
      <c r="C87" s="84" t="s">
        <v>44</v>
      </c>
      <c r="D87" s="84" t="s">
        <v>45</v>
      </c>
      <c r="E87" s="84" t="s">
        <v>14</v>
      </c>
      <c r="F87" s="84" t="s">
        <v>4</v>
      </c>
      <c r="G87" s="73"/>
    </row>
    <row r="88" spans="1:8" ht="14.25" customHeight="1">
      <c r="A88" s="52"/>
      <c r="B88" s="104" t="str">
        <f>+B35</f>
        <v>PROMOTOR</v>
      </c>
      <c r="C88" s="87">
        <v>1</v>
      </c>
      <c r="D88" s="87">
        <f>+D77</f>
        <v>6</v>
      </c>
      <c r="E88" s="87">
        <f>+E35/12*2</f>
        <v>200</v>
      </c>
      <c r="F88" s="86">
        <f>+C88*D88*E88</f>
        <v>1200</v>
      </c>
      <c r="G88" s="73"/>
    </row>
    <row r="89" spans="1:8" ht="14.25" customHeight="1">
      <c r="A89" s="52"/>
      <c r="B89" s="104"/>
      <c r="C89" s="87"/>
      <c r="D89" s="87"/>
      <c r="E89" s="87"/>
      <c r="F89" s="85"/>
      <c r="G89" s="73"/>
    </row>
    <row r="90" spans="1:8" ht="14.25" customHeight="1">
      <c r="A90" s="55"/>
      <c r="B90" s="516" t="s">
        <v>3</v>
      </c>
      <c r="C90" s="516"/>
      <c r="D90" s="516"/>
      <c r="E90" s="516"/>
      <c r="F90" s="86">
        <f>SUM(F88:F89)</f>
        <v>1200</v>
      </c>
      <c r="G90" s="73"/>
    </row>
    <row r="91" spans="1:8" ht="14.25" customHeight="1">
      <c r="A91" s="52"/>
      <c r="B91" s="73"/>
      <c r="C91" s="73"/>
      <c r="D91" s="73"/>
      <c r="E91" s="74"/>
      <c r="F91" s="73"/>
      <c r="G91" s="73"/>
    </row>
    <row r="92" spans="1:8" ht="12.75" customHeight="1">
      <c r="A92" s="52"/>
      <c r="B92" s="93"/>
      <c r="C92" s="73"/>
      <c r="D92" s="89"/>
      <c r="E92" s="74"/>
      <c r="F92" s="73"/>
      <c r="G92" s="73"/>
    </row>
    <row r="93" spans="1:8" s="153" customFormat="1" ht="15.75">
      <c r="A93" s="210" t="s">
        <v>185</v>
      </c>
      <c r="B93" s="211"/>
      <c r="C93" s="207"/>
      <c r="D93" s="207"/>
      <c r="E93" s="208"/>
      <c r="F93" s="208" t="s">
        <v>0</v>
      </c>
      <c r="G93" s="209">
        <f>+G95</f>
        <v>6693.49</v>
      </c>
      <c r="H93" s="178"/>
    </row>
    <row r="94" spans="1:8" s="153" customFormat="1" ht="15.75">
      <c r="A94" s="180"/>
      <c r="B94" s="181"/>
      <c r="C94" s="182"/>
      <c r="D94" s="182"/>
      <c r="E94" s="183"/>
      <c r="F94" s="183"/>
      <c r="G94" s="184"/>
      <c r="H94" s="178"/>
    </row>
    <row r="95" spans="1:8" ht="15.75" customHeight="1">
      <c r="A95" s="71"/>
      <c r="B95" s="80" t="s">
        <v>191</v>
      </c>
      <c r="C95" s="73"/>
      <c r="D95" s="73"/>
      <c r="E95" s="74"/>
      <c r="F95" s="75" t="s">
        <v>0</v>
      </c>
      <c r="G95" s="76">
        <f>F176</f>
        <v>6693.49</v>
      </c>
    </row>
    <row r="96" spans="1:8" ht="12.75" customHeight="1">
      <c r="A96" s="79"/>
      <c r="B96" s="80"/>
      <c r="C96" s="73"/>
      <c r="D96" s="73"/>
      <c r="E96" s="74"/>
      <c r="F96" s="73"/>
      <c r="G96" s="73"/>
    </row>
    <row r="97" spans="1:7" ht="12.75" customHeight="1">
      <c r="A97" s="52"/>
      <c r="B97" s="118" t="s">
        <v>23</v>
      </c>
      <c r="C97" s="118" t="s">
        <v>2</v>
      </c>
      <c r="D97" s="118" t="s">
        <v>24</v>
      </c>
      <c r="E97" s="118" t="s">
        <v>5</v>
      </c>
      <c r="F97" s="118" t="s">
        <v>4</v>
      </c>
      <c r="G97" s="105"/>
    </row>
    <row r="98" spans="1:7" ht="13.5" customHeight="1">
      <c r="A98" s="42"/>
      <c r="B98" s="135" t="s">
        <v>192</v>
      </c>
      <c r="C98" s="152" t="s">
        <v>141</v>
      </c>
      <c r="D98" s="151">
        <v>1</v>
      </c>
      <c r="E98" s="156">
        <v>290</v>
      </c>
      <c r="F98" s="86">
        <f>+E98*D98</f>
        <v>290</v>
      </c>
      <c r="G98" s="24"/>
    </row>
    <row r="99" spans="1:7" ht="13.5" customHeight="1">
      <c r="A99" s="42"/>
      <c r="B99" s="135" t="s">
        <v>193</v>
      </c>
      <c r="C99" s="152" t="s">
        <v>141</v>
      </c>
      <c r="D99" s="151">
        <v>1</v>
      </c>
      <c r="E99" s="156">
        <v>10</v>
      </c>
      <c r="F99" s="86">
        <f t="shared" ref="F99:F163" si="0">+E99*D99</f>
        <v>10</v>
      </c>
      <c r="G99" s="24"/>
    </row>
    <row r="100" spans="1:7" ht="13.5" customHeight="1">
      <c r="A100" s="42"/>
      <c r="B100" s="135" t="s">
        <v>194</v>
      </c>
      <c r="C100" s="152" t="s">
        <v>141</v>
      </c>
      <c r="D100" s="151">
        <v>1</v>
      </c>
      <c r="E100" s="156">
        <v>100</v>
      </c>
      <c r="F100" s="86">
        <f t="shared" si="0"/>
        <v>100</v>
      </c>
      <c r="G100" s="24"/>
    </row>
    <row r="101" spans="1:7" ht="13.5" customHeight="1">
      <c r="A101" s="42"/>
      <c r="B101" s="135" t="s">
        <v>105</v>
      </c>
      <c r="C101" s="152" t="s">
        <v>132</v>
      </c>
      <c r="D101" s="151">
        <v>2</v>
      </c>
      <c r="E101" s="156">
        <v>2</v>
      </c>
      <c r="F101" s="86">
        <f t="shared" si="0"/>
        <v>4</v>
      </c>
      <c r="G101" s="24"/>
    </row>
    <row r="102" spans="1:7" ht="13.5" customHeight="1">
      <c r="A102" s="42"/>
      <c r="B102" s="135" t="s">
        <v>195</v>
      </c>
      <c r="C102" s="152" t="s">
        <v>141</v>
      </c>
      <c r="D102" s="151">
        <v>8</v>
      </c>
      <c r="E102" s="156">
        <v>1</v>
      </c>
      <c r="F102" s="86">
        <f t="shared" si="0"/>
        <v>8</v>
      </c>
      <c r="G102" s="24"/>
    </row>
    <row r="103" spans="1:7" ht="13.5" customHeight="1">
      <c r="A103" s="42"/>
      <c r="B103" s="135" t="s">
        <v>196</v>
      </c>
      <c r="C103" s="152" t="s">
        <v>141</v>
      </c>
      <c r="D103" s="151">
        <v>3</v>
      </c>
      <c r="E103" s="156">
        <v>7</v>
      </c>
      <c r="F103" s="86">
        <f t="shared" si="0"/>
        <v>21</v>
      </c>
      <c r="G103" s="24"/>
    </row>
    <row r="104" spans="1:7" ht="13.5" customHeight="1">
      <c r="A104" s="42"/>
      <c r="B104" s="135" t="s">
        <v>197</v>
      </c>
      <c r="C104" s="152" t="s">
        <v>141</v>
      </c>
      <c r="D104" s="151">
        <v>40</v>
      </c>
      <c r="E104" s="156">
        <v>0.5</v>
      </c>
      <c r="F104" s="86">
        <f t="shared" si="0"/>
        <v>20</v>
      </c>
      <c r="G104" s="24"/>
    </row>
    <row r="105" spans="1:7" ht="13.5" customHeight="1">
      <c r="A105" s="42"/>
      <c r="B105" s="135" t="s">
        <v>198</v>
      </c>
      <c r="C105" s="152" t="s">
        <v>141</v>
      </c>
      <c r="D105" s="151">
        <v>20</v>
      </c>
      <c r="E105" s="156">
        <v>1</v>
      </c>
      <c r="F105" s="86">
        <f t="shared" si="0"/>
        <v>20</v>
      </c>
      <c r="G105" s="24"/>
    </row>
    <row r="106" spans="1:7" ht="13.5" customHeight="1">
      <c r="A106" s="42"/>
      <c r="B106" s="135" t="s">
        <v>199</v>
      </c>
      <c r="C106" s="152" t="s">
        <v>141</v>
      </c>
      <c r="D106" s="151">
        <v>20</v>
      </c>
      <c r="E106" s="156">
        <v>0.5</v>
      </c>
      <c r="F106" s="86">
        <f t="shared" si="0"/>
        <v>10</v>
      </c>
      <c r="G106" s="24"/>
    </row>
    <row r="107" spans="1:7" ht="13.5" customHeight="1">
      <c r="A107" s="42"/>
      <c r="B107" s="135" t="s">
        <v>200</v>
      </c>
      <c r="C107" s="152" t="s">
        <v>141</v>
      </c>
      <c r="D107" s="151">
        <v>40</v>
      </c>
      <c r="E107" s="156">
        <v>1</v>
      </c>
      <c r="F107" s="86">
        <f t="shared" si="0"/>
        <v>40</v>
      </c>
      <c r="G107" s="24"/>
    </row>
    <row r="108" spans="1:7" ht="13.5" customHeight="1">
      <c r="A108" s="42"/>
      <c r="B108" s="135" t="s">
        <v>201</v>
      </c>
      <c r="C108" s="152" t="s">
        <v>142</v>
      </c>
      <c r="D108" s="151">
        <v>50</v>
      </c>
      <c r="E108" s="156">
        <v>13.5</v>
      </c>
      <c r="F108" s="86">
        <f t="shared" si="0"/>
        <v>675</v>
      </c>
      <c r="G108" s="24"/>
    </row>
    <row r="109" spans="1:7" ht="13.5" customHeight="1">
      <c r="A109" s="42"/>
      <c r="B109" s="135" t="s">
        <v>143</v>
      </c>
      <c r="C109" s="152" t="s">
        <v>131</v>
      </c>
      <c r="D109" s="151">
        <v>10</v>
      </c>
      <c r="E109" s="156">
        <v>12</v>
      </c>
      <c r="F109" s="86">
        <f t="shared" si="0"/>
        <v>120</v>
      </c>
      <c r="G109" s="24"/>
    </row>
    <row r="110" spans="1:7" ht="13.5" customHeight="1">
      <c r="A110" s="42"/>
      <c r="B110" s="135" t="s">
        <v>202</v>
      </c>
      <c r="C110" s="152" t="s">
        <v>8</v>
      </c>
      <c r="D110" s="151">
        <v>5</v>
      </c>
      <c r="E110" s="156">
        <v>7</v>
      </c>
      <c r="F110" s="86">
        <f t="shared" si="0"/>
        <v>35</v>
      </c>
      <c r="G110" s="24"/>
    </row>
    <row r="111" spans="1:7" ht="13.5" customHeight="1">
      <c r="A111" s="42"/>
      <c r="B111" s="135" t="s">
        <v>203</v>
      </c>
      <c r="C111" s="152" t="s">
        <v>141</v>
      </c>
      <c r="D111" s="151">
        <v>20</v>
      </c>
      <c r="E111" s="156">
        <v>1.5</v>
      </c>
      <c r="F111" s="86">
        <f t="shared" si="0"/>
        <v>30</v>
      </c>
      <c r="G111" s="24"/>
    </row>
    <row r="112" spans="1:7" ht="13.5" customHeight="1">
      <c r="A112" s="42"/>
      <c r="B112" s="135" t="s">
        <v>150</v>
      </c>
      <c r="C112" s="152" t="s">
        <v>151</v>
      </c>
      <c r="D112" s="151">
        <v>5</v>
      </c>
      <c r="E112" s="156">
        <v>32</v>
      </c>
      <c r="F112" s="86">
        <f t="shared" si="0"/>
        <v>160</v>
      </c>
      <c r="G112" s="24"/>
    </row>
    <row r="113" spans="1:7" ht="13.5" customHeight="1">
      <c r="A113" s="42"/>
      <c r="B113" s="135" t="s">
        <v>204</v>
      </c>
      <c r="C113" s="152" t="s">
        <v>141</v>
      </c>
      <c r="D113" s="151">
        <v>8</v>
      </c>
      <c r="E113" s="156">
        <v>1</v>
      </c>
      <c r="F113" s="86">
        <f t="shared" si="0"/>
        <v>8</v>
      </c>
      <c r="G113" s="24"/>
    </row>
    <row r="114" spans="1:7" ht="13.5" customHeight="1">
      <c r="A114" s="42"/>
      <c r="B114" s="135" t="s">
        <v>205</v>
      </c>
      <c r="C114" s="152" t="s">
        <v>141</v>
      </c>
      <c r="D114" s="151">
        <v>69</v>
      </c>
      <c r="E114" s="156">
        <v>0.5</v>
      </c>
      <c r="F114" s="86">
        <f t="shared" si="0"/>
        <v>34.5</v>
      </c>
      <c r="G114" s="24"/>
    </row>
    <row r="115" spans="1:7" ht="13.5" customHeight="1">
      <c r="A115" s="42"/>
      <c r="B115" s="135" t="s">
        <v>206</v>
      </c>
      <c r="C115" s="152" t="s">
        <v>141</v>
      </c>
      <c r="D115" s="151">
        <v>2</v>
      </c>
      <c r="E115" s="156">
        <v>6</v>
      </c>
      <c r="F115" s="86">
        <f t="shared" si="0"/>
        <v>12</v>
      </c>
      <c r="G115" s="24"/>
    </row>
    <row r="116" spans="1:7" ht="13.5" customHeight="1">
      <c r="A116" s="42"/>
      <c r="B116" s="135" t="s">
        <v>207</v>
      </c>
      <c r="C116" s="152" t="s">
        <v>141</v>
      </c>
      <c r="D116" s="151">
        <v>1</v>
      </c>
      <c r="E116" s="156">
        <v>4</v>
      </c>
      <c r="F116" s="86">
        <f t="shared" si="0"/>
        <v>4</v>
      </c>
      <c r="G116" s="24"/>
    </row>
    <row r="117" spans="1:7" ht="13.5" customHeight="1">
      <c r="A117" s="42"/>
      <c r="B117" s="135" t="s">
        <v>208</v>
      </c>
      <c r="C117" s="152" t="s">
        <v>132</v>
      </c>
      <c r="D117" s="151">
        <v>1</v>
      </c>
      <c r="E117" s="156">
        <v>1.5</v>
      </c>
      <c r="F117" s="86">
        <f t="shared" si="0"/>
        <v>1.5</v>
      </c>
      <c r="G117" s="24"/>
    </row>
    <row r="118" spans="1:7" ht="13.5" customHeight="1">
      <c r="A118" s="42"/>
      <c r="B118" s="135" t="s">
        <v>209</v>
      </c>
      <c r="C118" s="152" t="s">
        <v>141</v>
      </c>
      <c r="D118" s="151">
        <v>1</v>
      </c>
      <c r="E118" s="156">
        <v>2</v>
      </c>
      <c r="F118" s="86">
        <f t="shared" si="0"/>
        <v>2</v>
      </c>
      <c r="G118" s="24"/>
    </row>
    <row r="119" spans="1:7" ht="13.5" customHeight="1">
      <c r="A119" s="42"/>
      <c r="B119" s="135" t="s">
        <v>210</v>
      </c>
      <c r="C119" s="152" t="s">
        <v>141</v>
      </c>
      <c r="D119" s="151">
        <v>2</v>
      </c>
      <c r="E119" s="156">
        <v>9</v>
      </c>
      <c r="F119" s="86">
        <f t="shared" si="0"/>
        <v>18</v>
      </c>
      <c r="G119" s="24"/>
    </row>
    <row r="120" spans="1:7" ht="13.5" customHeight="1">
      <c r="A120" s="42"/>
      <c r="B120" s="135" t="s">
        <v>211</v>
      </c>
      <c r="C120" s="152" t="s">
        <v>141</v>
      </c>
      <c r="D120" s="151">
        <v>2</v>
      </c>
      <c r="E120" s="156">
        <v>10</v>
      </c>
      <c r="F120" s="86">
        <f t="shared" si="0"/>
        <v>20</v>
      </c>
      <c r="G120" s="24"/>
    </row>
    <row r="121" spans="1:7" ht="13.5" customHeight="1">
      <c r="A121" s="42"/>
      <c r="B121" s="135" t="s">
        <v>212</v>
      </c>
      <c r="C121" s="152" t="s">
        <v>141</v>
      </c>
      <c r="D121" s="151">
        <v>1</v>
      </c>
      <c r="E121" s="156">
        <v>10</v>
      </c>
      <c r="F121" s="86">
        <f>+E121*D121</f>
        <v>10</v>
      </c>
      <c r="G121" s="24"/>
    </row>
    <row r="122" spans="1:7" ht="13.5" customHeight="1">
      <c r="A122" s="42"/>
      <c r="B122" s="135" t="s">
        <v>213</v>
      </c>
      <c r="C122" s="152" t="s">
        <v>141</v>
      </c>
      <c r="D122" s="151">
        <v>1</v>
      </c>
      <c r="E122" s="156">
        <v>2</v>
      </c>
      <c r="F122" s="86">
        <f t="shared" si="0"/>
        <v>2</v>
      </c>
      <c r="G122" s="24"/>
    </row>
    <row r="123" spans="1:7" ht="13.5" customHeight="1">
      <c r="A123" s="42"/>
      <c r="B123" s="135" t="s">
        <v>214</v>
      </c>
      <c r="C123" s="152" t="s">
        <v>132</v>
      </c>
      <c r="D123" s="151">
        <v>1</v>
      </c>
      <c r="E123" s="156">
        <v>1.5</v>
      </c>
      <c r="F123" s="86">
        <f t="shared" si="0"/>
        <v>1.5</v>
      </c>
      <c r="G123" s="24"/>
    </row>
    <row r="124" spans="1:7" ht="13.5" customHeight="1">
      <c r="A124" s="42"/>
      <c r="B124" s="135" t="s">
        <v>215</v>
      </c>
      <c r="C124" s="152" t="s">
        <v>141</v>
      </c>
      <c r="D124" s="151">
        <v>1</v>
      </c>
      <c r="E124" s="156">
        <v>1</v>
      </c>
      <c r="F124" s="86">
        <f t="shared" si="0"/>
        <v>1</v>
      </c>
      <c r="G124" s="24"/>
    </row>
    <row r="125" spans="1:7" ht="13.5" customHeight="1">
      <c r="A125" s="42"/>
      <c r="B125" s="135" t="s">
        <v>145</v>
      </c>
      <c r="C125" s="152" t="s">
        <v>141</v>
      </c>
      <c r="D125" s="151">
        <v>3</v>
      </c>
      <c r="E125" s="156">
        <v>1</v>
      </c>
      <c r="F125" s="86">
        <f t="shared" si="0"/>
        <v>3</v>
      </c>
      <c r="G125" s="24"/>
    </row>
    <row r="126" spans="1:7" ht="13.5" customHeight="1">
      <c r="A126" s="42"/>
      <c r="B126" s="135" t="s">
        <v>216</v>
      </c>
      <c r="C126" s="152" t="s">
        <v>141</v>
      </c>
      <c r="D126" s="151">
        <v>9</v>
      </c>
      <c r="E126" s="156">
        <v>30</v>
      </c>
      <c r="F126" s="86">
        <f t="shared" si="0"/>
        <v>270</v>
      </c>
      <c r="G126" s="24"/>
    </row>
    <row r="127" spans="1:7" ht="13.5" customHeight="1">
      <c r="A127" s="42"/>
      <c r="B127" s="135" t="s">
        <v>217</v>
      </c>
      <c r="C127" s="152" t="s">
        <v>141</v>
      </c>
      <c r="D127" s="151">
        <v>45</v>
      </c>
      <c r="E127" s="156">
        <v>0.1</v>
      </c>
      <c r="F127" s="86">
        <f t="shared" si="0"/>
        <v>4.5</v>
      </c>
      <c r="G127" s="24"/>
    </row>
    <row r="128" spans="1:7" ht="13.5" customHeight="1">
      <c r="A128" s="42"/>
      <c r="B128" s="135" t="s">
        <v>218</v>
      </c>
      <c r="C128" s="152" t="s">
        <v>141</v>
      </c>
      <c r="D128" s="151">
        <v>100</v>
      </c>
      <c r="E128" s="156">
        <v>0.1</v>
      </c>
      <c r="F128" s="86">
        <f t="shared" si="0"/>
        <v>10</v>
      </c>
      <c r="G128" s="24"/>
    </row>
    <row r="129" spans="1:7" ht="13.5" customHeight="1">
      <c r="A129" s="42"/>
      <c r="B129" s="135" t="s">
        <v>146</v>
      </c>
      <c r="C129" s="152" t="s">
        <v>141</v>
      </c>
      <c r="D129" s="151">
        <v>1</v>
      </c>
      <c r="E129" s="156">
        <v>30</v>
      </c>
      <c r="F129" s="86">
        <f t="shared" si="0"/>
        <v>30</v>
      </c>
      <c r="G129" s="24"/>
    </row>
    <row r="130" spans="1:7" ht="13.5" customHeight="1">
      <c r="A130" s="42"/>
      <c r="B130" s="135" t="s">
        <v>219</v>
      </c>
      <c r="C130" s="152" t="s">
        <v>141</v>
      </c>
      <c r="D130" s="151">
        <v>1</v>
      </c>
      <c r="E130" s="156">
        <v>16</v>
      </c>
      <c r="F130" s="86">
        <f t="shared" si="0"/>
        <v>16</v>
      </c>
      <c r="G130" s="24"/>
    </row>
    <row r="131" spans="1:7" ht="13.5" customHeight="1">
      <c r="A131" s="42"/>
      <c r="B131" s="135" t="s">
        <v>147</v>
      </c>
      <c r="C131" s="152" t="s">
        <v>141</v>
      </c>
      <c r="D131" s="151">
        <v>1</v>
      </c>
      <c r="E131" s="156">
        <v>2</v>
      </c>
      <c r="F131" s="86">
        <f t="shared" si="0"/>
        <v>2</v>
      </c>
      <c r="G131" s="24"/>
    </row>
    <row r="132" spans="1:7" ht="13.5" customHeight="1">
      <c r="A132" s="42"/>
      <c r="B132" s="135" t="s">
        <v>153</v>
      </c>
      <c r="C132" s="152" t="s">
        <v>141</v>
      </c>
      <c r="D132" s="151">
        <v>87</v>
      </c>
      <c r="E132" s="156">
        <v>3</v>
      </c>
      <c r="F132" s="86">
        <f t="shared" si="0"/>
        <v>261</v>
      </c>
      <c r="G132" s="24"/>
    </row>
    <row r="133" spans="1:7" ht="13.5" customHeight="1">
      <c r="A133" s="42"/>
      <c r="B133" s="135" t="s">
        <v>154</v>
      </c>
      <c r="C133" s="152" t="s">
        <v>141</v>
      </c>
      <c r="D133" s="151">
        <v>38</v>
      </c>
      <c r="E133" s="156">
        <v>3</v>
      </c>
      <c r="F133" s="86">
        <f t="shared" si="0"/>
        <v>114</v>
      </c>
      <c r="G133" s="24"/>
    </row>
    <row r="134" spans="1:7" ht="13.5" customHeight="1">
      <c r="A134" s="42"/>
      <c r="B134" s="135" t="s">
        <v>155</v>
      </c>
      <c r="C134" s="152" t="s">
        <v>141</v>
      </c>
      <c r="D134" s="151">
        <v>2</v>
      </c>
      <c r="E134" s="156">
        <v>5</v>
      </c>
      <c r="F134" s="86">
        <f t="shared" si="0"/>
        <v>10</v>
      </c>
      <c r="G134" s="24"/>
    </row>
    <row r="135" spans="1:7" ht="13.5" customHeight="1">
      <c r="A135" s="42"/>
      <c r="B135" s="135" t="s">
        <v>156</v>
      </c>
      <c r="C135" s="152" t="s">
        <v>141</v>
      </c>
      <c r="D135" s="151">
        <v>2</v>
      </c>
      <c r="E135" s="156">
        <v>5</v>
      </c>
      <c r="F135" s="86">
        <f t="shared" si="0"/>
        <v>10</v>
      </c>
      <c r="G135" s="24"/>
    </row>
    <row r="136" spans="1:7" ht="13.5" customHeight="1">
      <c r="A136" s="42"/>
      <c r="B136" s="135" t="s">
        <v>157</v>
      </c>
      <c r="C136" s="152" t="s">
        <v>158</v>
      </c>
      <c r="D136" s="151">
        <v>1</v>
      </c>
      <c r="E136" s="156">
        <v>10</v>
      </c>
      <c r="F136" s="86">
        <f t="shared" si="0"/>
        <v>10</v>
      </c>
      <c r="G136" s="24"/>
    </row>
    <row r="137" spans="1:7" ht="13.5" customHeight="1">
      <c r="A137" s="42"/>
      <c r="B137" s="135" t="s">
        <v>159</v>
      </c>
      <c r="C137" s="152" t="s">
        <v>141</v>
      </c>
      <c r="D137" s="151">
        <v>135</v>
      </c>
      <c r="E137" s="156">
        <v>2.63</v>
      </c>
      <c r="F137" s="86">
        <f t="shared" si="0"/>
        <v>355.05</v>
      </c>
      <c r="G137" s="24"/>
    </row>
    <row r="138" spans="1:7" ht="13.5" customHeight="1">
      <c r="A138" s="42"/>
      <c r="B138" s="135" t="s">
        <v>220</v>
      </c>
      <c r="C138" s="152" t="s">
        <v>141</v>
      </c>
      <c r="D138" s="151">
        <v>1</v>
      </c>
      <c r="E138" s="156">
        <v>15</v>
      </c>
      <c r="F138" s="86">
        <f t="shared" si="0"/>
        <v>15</v>
      </c>
      <c r="G138" s="24"/>
    </row>
    <row r="139" spans="1:7" ht="13.5" customHeight="1">
      <c r="A139" s="42"/>
      <c r="B139" s="135" t="s">
        <v>160</v>
      </c>
      <c r="C139" s="152" t="s">
        <v>136</v>
      </c>
      <c r="D139" s="151">
        <v>4</v>
      </c>
      <c r="E139" s="156">
        <v>9</v>
      </c>
      <c r="F139" s="86">
        <f t="shared" si="0"/>
        <v>36</v>
      </c>
      <c r="G139" s="24"/>
    </row>
    <row r="140" spans="1:7" ht="13.5" customHeight="1">
      <c r="A140" s="42"/>
      <c r="B140" s="135" t="s">
        <v>161</v>
      </c>
      <c r="C140" s="152" t="s">
        <v>141</v>
      </c>
      <c r="D140" s="151">
        <v>9</v>
      </c>
      <c r="E140" s="156">
        <v>15</v>
      </c>
      <c r="F140" s="86">
        <f t="shared" si="0"/>
        <v>135</v>
      </c>
      <c r="G140" s="24"/>
    </row>
    <row r="141" spans="1:7" ht="13.5" customHeight="1">
      <c r="A141" s="42"/>
      <c r="B141" s="135" t="s">
        <v>162</v>
      </c>
      <c r="C141" s="152" t="s">
        <v>141</v>
      </c>
      <c r="D141" s="151">
        <v>9</v>
      </c>
      <c r="E141" s="156">
        <v>22</v>
      </c>
      <c r="F141" s="86">
        <f>+E141*D141</f>
        <v>198</v>
      </c>
      <c r="G141" s="24"/>
    </row>
    <row r="142" spans="1:7" ht="13.5" customHeight="1">
      <c r="A142" s="42"/>
      <c r="B142" s="135" t="s">
        <v>221</v>
      </c>
      <c r="C142" s="152" t="s">
        <v>141</v>
      </c>
      <c r="D142" s="151">
        <v>1</v>
      </c>
      <c r="E142" s="156">
        <v>150</v>
      </c>
      <c r="F142" s="86">
        <f t="shared" si="0"/>
        <v>150</v>
      </c>
      <c r="G142" s="24"/>
    </row>
    <row r="143" spans="1:7" ht="13.5" customHeight="1">
      <c r="A143" s="42"/>
      <c r="B143" s="135" t="s">
        <v>222</v>
      </c>
      <c r="C143" s="152" t="s">
        <v>141</v>
      </c>
      <c r="D143" s="151">
        <v>1</v>
      </c>
      <c r="E143" s="156">
        <v>100</v>
      </c>
      <c r="F143" s="86">
        <f t="shared" si="0"/>
        <v>100</v>
      </c>
      <c r="G143" s="24"/>
    </row>
    <row r="144" spans="1:7" ht="13.5" customHeight="1">
      <c r="A144" s="42"/>
      <c r="B144" s="135" t="s">
        <v>163</v>
      </c>
      <c r="C144" s="152" t="s">
        <v>141</v>
      </c>
      <c r="D144" s="151">
        <v>1</v>
      </c>
      <c r="E144" s="156">
        <v>22</v>
      </c>
      <c r="F144" s="86">
        <f t="shared" si="0"/>
        <v>22</v>
      </c>
      <c r="G144" s="24"/>
    </row>
    <row r="145" spans="1:7" ht="13.5" customHeight="1">
      <c r="A145" s="42"/>
      <c r="B145" s="135" t="s">
        <v>164</v>
      </c>
      <c r="C145" s="152" t="s">
        <v>141</v>
      </c>
      <c r="D145" s="151">
        <v>1</v>
      </c>
      <c r="E145" s="156">
        <v>5</v>
      </c>
      <c r="F145" s="86">
        <f t="shared" si="0"/>
        <v>5</v>
      </c>
      <c r="G145" s="24"/>
    </row>
    <row r="146" spans="1:7" ht="13.5" customHeight="1">
      <c r="A146" s="42"/>
      <c r="B146" s="135" t="s">
        <v>165</v>
      </c>
      <c r="C146" s="152" t="s">
        <v>141</v>
      </c>
      <c r="D146" s="151">
        <v>1</v>
      </c>
      <c r="E146" s="156">
        <v>450</v>
      </c>
      <c r="F146" s="86">
        <f t="shared" si="0"/>
        <v>450</v>
      </c>
      <c r="G146" s="24"/>
    </row>
    <row r="147" spans="1:7" ht="13.5" customHeight="1">
      <c r="A147" s="42"/>
      <c r="B147" s="135" t="s">
        <v>166</v>
      </c>
      <c r="C147" s="152" t="s">
        <v>141</v>
      </c>
      <c r="D147" s="151">
        <v>1</v>
      </c>
      <c r="E147" s="156">
        <v>300</v>
      </c>
      <c r="F147" s="86">
        <f t="shared" si="0"/>
        <v>300</v>
      </c>
      <c r="G147" s="24"/>
    </row>
    <row r="148" spans="1:7" ht="13.5" customHeight="1">
      <c r="A148" s="42"/>
      <c r="B148" s="135" t="s">
        <v>167</v>
      </c>
      <c r="C148" s="152" t="s">
        <v>141</v>
      </c>
      <c r="D148" s="151">
        <v>1</v>
      </c>
      <c r="E148" s="156">
        <v>400</v>
      </c>
      <c r="F148" s="86">
        <f t="shared" si="0"/>
        <v>400</v>
      </c>
      <c r="G148" s="24"/>
    </row>
    <row r="149" spans="1:7" ht="13.5" customHeight="1">
      <c r="A149" s="42"/>
      <c r="B149" s="135" t="s">
        <v>223</v>
      </c>
      <c r="C149" s="152" t="s">
        <v>141</v>
      </c>
      <c r="D149" s="151">
        <v>1</v>
      </c>
      <c r="E149" s="156">
        <v>75</v>
      </c>
      <c r="F149" s="86">
        <f t="shared" si="0"/>
        <v>75</v>
      </c>
      <c r="G149" s="24"/>
    </row>
    <row r="150" spans="1:7" ht="13.5" customHeight="1">
      <c r="A150" s="42"/>
      <c r="B150" s="135" t="s">
        <v>224</v>
      </c>
      <c r="C150" s="152" t="s">
        <v>141</v>
      </c>
      <c r="D150" s="151">
        <v>64</v>
      </c>
      <c r="E150" s="156">
        <v>0.5</v>
      </c>
      <c r="F150" s="86">
        <f t="shared" si="0"/>
        <v>32</v>
      </c>
      <c r="G150" s="24"/>
    </row>
    <row r="151" spans="1:7" ht="13.5" customHeight="1">
      <c r="A151" s="42"/>
      <c r="B151" s="135" t="s">
        <v>225</v>
      </c>
      <c r="C151" s="152" t="s">
        <v>141</v>
      </c>
      <c r="D151" s="151">
        <v>64</v>
      </c>
      <c r="E151" s="156">
        <v>0.5</v>
      </c>
      <c r="F151" s="86">
        <f t="shared" si="0"/>
        <v>32</v>
      </c>
      <c r="G151" s="24"/>
    </row>
    <row r="152" spans="1:7" ht="13.5" customHeight="1">
      <c r="A152" s="42"/>
      <c r="B152" s="135" t="s">
        <v>168</v>
      </c>
      <c r="C152" s="152" t="s">
        <v>141</v>
      </c>
      <c r="D152" s="151">
        <v>300</v>
      </c>
      <c r="E152" s="156">
        <v>0.5</v>
      </c>
      <c r="F152" s="86">
        <f t="shared" si="0"/>
        <v>150</v>
      </c>
      <c r="G152" s="24"/>
    </row>
    <row r="153" spans="1:7" ht="13.5" customHeight="1">
      <c r="A153" s="42"/>
      <c r="B153" s="135" t="s">
        <v>169</v>
      </c>
      <c r="C153" s="152" t="s">
        <v>141</v>
      </c>
      <c r="D153" s="151">
        <v>1</v>
      </c>
      <c r="E153" s="156">
        <v>20</v>
      </c>
      <c r="F153" s="86">
        <f t="shared" si="0"/>
        <v>20</v>
      </c>
      <c r="G153" s="24"/>
    </row>
    <row r="154" spans="1:7" ht="13.5" customHeight="1">
      <c r="A154" s="42"/>
      <c r="B154" s="135" t="s">
        <v>170</v>
      </c>
      <c r="C154" s="152" t="s">
        <v>141</v>
      </c>
      <c r="D154" s="151">
        <v>9</v>
      </c>
      <c r="E154" s="156">
        <v>5</v>
      </c>
      <c r="F154" s="86">
        <f t="shared" si="0"/>
        <v>45</v>
      </c>
      <c r="G154" s="24"/>
    </row>
    <row r="155" spans="1:7" ht="13.5" customHeight="1">
      <c r="A155" s="42"/>
      <c r="B155" s="135" t="s">
        <v>171</v>
      </c>
      <c r="C155" s="152" t="s">
        <v>141</v>
      </c>
      <c r="D155" s="151">
        <v>9</v>
      </c>
      <c r="E155" s="156">
        <v>5</v>
      </c>
      <c r="F155" s="86">
        <f t="shared" si="0"/>
        <v>45</v>
      </c>
      <c r="G155" s="24"/>
    </row>
    <row r="156" spans="1:7" ht="13.5" customHeight="1">
      <c r="A156" s="42"/>
      <c r="B156" s="135" t="s">
        <v>172</v>
      </c>
      <c r="C156" s="152" t="s">
        <v>141</v>
      </c>
      <c r="D156" s="151">
        <v>9</v>
      </c>
      <c r="E156" s="156">
        <v>5</v>
      </c>
      <c r="F156" s="86">
        <f t="shared" si="0"/>
        <v>45</v>
      </c>
      <c r="G156" s="24"/>
    </row>
    <row r="157" spans="1:7" ht="13.5" customHeight="1">
      <c r="A157" s="42"/>
      <c r="B157" s="135" t="s">
        <v>226</v>
      </c>
      <c r="C157" s="152" t="s">
        <v>141</v>
      </c>
      <c r="D157" s="151">
        <v>9</v>
      </c>
      <c r="E157" s="156">
        <v>5</v>
      </c>
      <c r="F157" s="86">
        <f t="shared" si="0"/>
        <v>45</v>
      </c>
      <c r="G157" s="24"/>
    </row>
    <row r="158" spans="1:7" ht="13.5" customHeight="1">
      <c r="A158" s="42"/>
      <c r="B158" s="135" t="s">
        <v>173</v>
      </c>
      <c r="C158" s="152" t="s">
        <v>141</v>
      </c>
      <c r="D158" s="151">
        <v>9</v>
      </c>
      <c r="E158" s="156">
        <v>5</v>
      </c>
      <c r="F158" s="86">
        <f t="shared" si="0"/>
        <v>45</v>
      </c>
      <c r="G158" s="24"/>
    </row>
    <row r="159" spans="1:7" ht="13.5" customHeight="1">
      <c r="A159" s="42"/>
      <c r="B159" s="135" t="s">
        <v>174</v>
      </c>
      <c r="C159" s="152" t="s">
        <v>141</v>
      </c>
      <c r="D159" s="151">
        <v>9</v>
      </c>
      <c r="E159" s="156">
        <v>5</v>
      </c>
      <c r="F159" s="86">
        <f t="shared" si="0"/>
        <v>45</v>
      </c>
      <c r="G159" s="24"/>
    </row>
    <row r="160" spans="1:7" ht="13.5" customHeight="1">
      <c r="A160" s="42"/>
      <c r="B160" s="135" t="s">
        <v>175</v>
      </c>
      <c r="C160" s="152" t="s">
        <v>141</v>
      </c>
      <c r="D160" s="151">
        <v>9</v>
      </c>
      <c r="E160" s="156">
        <v>5</v>
      </c>
      <c r="F160" s="86">
        <f t="shared" si="0"/>
        <v>45</v>
      </c>
      <c r="G160" s="24"/>
    </row>
    <row r="161" spans="1:7" ht="13.5" customHeight="1">
      <c r="A161" s="42"/>
      <c r="B161" s="135" t="s">
        <v>176</v>
      </c>
      <c r="C161" s="152" t="s">
        <v>141</v>
      </c>
      <c r="D161" s="151">
        <v>9</v>
      </c>
      <c r="E161" s="156">
        <v>5</v>
      </c>
      <c r="F161" s="86">
        <f t="shared" si="0"/>
        <v>45</v>
      </c>
      <c r="G161" s="24"/>
    </row>
    <row r="162" spans="1:7" ht="13.5" customHeight="1">
      <c r="A162" s="42"/>
      <c r="B162" s="135" t="s">
        <v>177</v>
      </c>
      <c r="C162" s="152" t="s">
        <v>141</v>
      </c>
      <c r="D162" s="151">
        <v>9</v>
      </c>
      <c r="E162" s="156">
        <v>5</v>
      </c>
      <c r="F162" s="86">
        <f>+E162*D162</f>
        <v>45</v>
      </c>
      <c r="G162" s="24"/>
    </row>
    <row r="163" spans="1:7" ht="13.5" customHeight="1">
      <c r="A163" s="42"/>
      <c r="B163" s="135" t="s">
        <v>227</v>
      </c>
      <c r="C163" s="152" t="s">
        <v>141</v>
      </c>
      <c r="D163" s="151">
        <v>9</v>
      </c>
      <c r="E163" s="156">
        <v>5</v>
      </c>
      <c r="F163" s="86">
        <f t="shared" si="0"/>
        <v>45</v>
      </c>
      <c r="G163" s="24"/>
    </row>
    <row r="164" spans="1:7" ht="13.5" customHeight="1">
      <c r="A164" s="42"/>
      <c r="B164" s="135" t="s">
        <v>228</v>
      </c>
      <c r="C164" s="152" t="s">
        <v>141</v>
      </c>
      <c r="D164" s="151">
        <v>9</v>
      </c>
      <c r="E164" s="156">
        <v>5</v>
      </c>
      <c r="F164" s="86">
        <f t="shared" ref="F164:F175" si="1">+E164*D164</f>
        <v>45</v>
      </c>
      <c r="G164" s="24"/>
    </row>
    <row r="165" spans="1:7" ht="13.5" customHeight="1">
      <c r="A165" s="42"/>
      <c r="B165" s="135" t="s">
        <v>229</v>
      </c>
      <c r="C165" s="152" t="s">
        <v>141</v>
      </c>
      <c r="D165" s="151">
        <v>2</v>
      </c>
      <c r="E165" s="156">
        <v>7</v>
      </c>
      <c r="F165" s="86">
        <f t="shared" si="1"/>
        <v>14</v>
      </c>
      <c r="G165" s="24"/>
    </row>
    <row r="166" spans="1:7" ht="13.5" customHeight="1">
      <c r="A166" s="42"/>
      <c r="B166" s="135" t="s">
        <v>230</v>
      </c>
      <c r="C166" s="152" t="s">
        <v>141</v>
      </c>
      <c r="D166" s="151">
        <v>5</v>
      </c>
      <c r="E166" s="156">
        <v>5</v>
      </c>
      <c r="F166" s="86">
        <f t="shared" si="1"/>
        <v>25</v>
      </c>
      <c r="G166" s="24"/>
    </row>
    <row r="167" spans="1:7" ht="13.5" customHeight="1">
      <c r="A167" s="42"/>
      <c r="B167" s="135" t="s">
        <v>178</v>
      </c>
      <c r="C167" s="152" t="s">
        <v>141</v>
      </c>
      <c r="D167" s="151">
        <v>45</v>
      </c>
      <c r="E167" s="156">
        <v>4</v>
      </c>
      <c r="F167" s="86">
        <f t="shared" si="1"/>
        <v>180</v>
      </c>
      <c r="G167" s="24"/>
    </row>
    <row r="168" spans="1:7" ht="13.5" customHeight="1">
      <c r="A168" s="42"/>
      <c r="B168" s="135" t="s">
        <v>179</v>
      </c>
      <c r="C168" s="88" t="s">
        <v>141</v>
      </c>
      <c r="D168" s="92">
        <v>45</v>
      </c>
      <c r="E168" s="203">
        <v>8</v>
      </c>
      <c r="F168" s="86">
        <f t="shared" si="1"/>
        <v>360</v>
      </c>
      <c r="G168" s="24"/>
    </row>
    <row r="169" spans="1:7" ht="13.5" customHeight="1">
      <c r="A169" s="42"/>
      <c r="B169" s="135" t="s">
        <v>180</v>
      </c>
      <c r="C169" s="88" t="s">
        <v>141</v>
      </c>
      <c r="D169" s="92">
        <v>45</v>
      </c>
      <c r="E169" s="203">
        <v>4</v>
      </c>
      <c r="F169" s="86">
        <f t="shared" si="1"/>
        <v>180</v>
      </c>
      <c r="G169" s="24"/>
    </row>
    <row r="170" spans="1:7" ht="13.5" customHeight="1">
      <c r="A170" s="42"/>
      <c r="B170" s="135" t="s">
        <v>181</v>
      </c>
      <c r="C170" s="88" t="s">
        <v>141</v>
      </c>
      <c r="D170" s="92">
        <v>1</v>
      </c>
      <c r="E170" s="203">
        <v>78.459999999999994</v>
      </c>
      <c r="F170" s="86">
        <f t="shared" si="1"/>
        <v>78.459999999999994</v>
      </c>
      <c r="G170" s="24"/>
    </row>
    <row r="171" spans="1:7" ht="13.5" customHeight="1">
      <c r="A171" s="42"/>
      <c r="B171" s="135" t="s">
        <v>182</v>
      </c>
      <c r="C171" s="88" t="s">
        <v>141</v>
      </c>
      <c r="D171" s="92">
        <v>45</v>
      </c>
      <c r="E171" s="203">
        <v>3.5</v>
      </c>
      <c r="F171" s="86">
        <f t="shared" si="1"/>
        <v>157.5</v>
      </c>
      <c r="G171" s="24"/>
    </row>
    <row r="172" spans="1:7" ht="13.5" customHeight="1">
      <c r="A172" s="42"/>
      <c r="B172" s="135" t="s">
        <v>183</v>
      </c>
      <c r="C172" s="88" t="s">
        <v>141</v>
      </c>
      <c r="D172" s="92">
        <v>45</v>
      </c>
      <c r="E172" s="203">
        <v>1</v>
      </c>
      <c r="F172" s="86">
        <f t="shared" si="1"/>
        <v>45</v>
      </c>
      <c r="G172" s="24"/>
    </row>
    <row r="173" spans="1:7" ht="13.5" customHeight="1">
      <c r="A173" s="42"/>
      <c r="B173" s="135" t="s">
        <v>231</v>
      </c>
      <c r="C173" s="88" t="s">
        <v>141</v>
      </c>
      <c r="D173" s="92">
        <v>1</v>
      </c>
      <c r="E173" s="203">
        <v>230</v>
      </c>
      <c r="F173" s="86">
        <f t="shared" si="1"/>
        <v>230</v>
      </c>
      <c r="G173" s="24"/>
    </row>
    <row r="174" spans="1:7" ht="13.5" customHeight="1">
      <c r="A174" s="42"/>
      <c r="B174" s="135" t="s">
        <v>232</v>
      </c>
      <c r="C174" s="88" t="s">
        <v>141</v>
      </c>
      <c r="D174" s="92">
        <v>1</v>
      </c>
      <c r="E174" s="203">
        <v>40</v>
      </c>
      <c r="F174" s="86">
        <f t="shared" si="1"/>
        <v>40</v>
      </c>
      <c r="G174" s="24"/>
    </row>
    <row r="175" spans="1:7" ht="13.5" customHeight="1">
      <c r="A175" s="42"/>
      <c r="B175" s="135" t="s">
        <v>233</v>
      </c>
      <c r="C175" s="88" t="s">
        <v>141</v>
      </c>
      <c r="D175" s="92">
        <v>1</v>
      </c>
      <c r="E175" s="203">
        <v>15.48</v>
      </c>
      <c r="F175" s="86">
        <f t="shared" si="1"/>
        <v>15.48</v>
      </c>
      <c r="G175" s="24"/>
    </row>
    <row r="176" spans="1:7" ht="12.75" customHeight="1">
      <c r="A176" s="52"/>
      <c r="B176" s="511" t="s">
        <v>3</v>
      </c>
      <c r="C176" s="511"/>
      <c r="D176" s="511"/>
      <c r="E176" s="511"/>
      <c r="F176" s="231">
        <f>SUM(F98:F175)</f>
        <v>6693.49</v>
      </c>
      <c r="G176" s="91"/>
    </row>
    <row r="177" spans="1:8" ht="12.75" customHeight="1">
      <c r="A177" s="52"/>
      <c r="B177" s="105"/>
      <c r="C177" s="105"/>
      <c r="D177" s="105"/>
      <c r="E177" s="105"/>
      <c r="F177" s="105"/>
      <c r="G177" s="91"/>
    </row>
    <row r="178" spans="1:8" s="153" customFormat="1" ht="15.75">
      <c r="A178" s="210" t="s">
        <v>186</v>
      </c>
      <c r="B178" s="211"/>
      <c r="C178" s="207"/>
      <c r="D178" s="207"/>
      <c r="E178" s="208"/>
      <c r="F178" s="208" t="s">
        <v>0</v>
      </c>
      <c r="G178" s="209">
        <f>+G180</f>
        <v>1350</v>
      </c>
      <c r="H178" s="178"/>
    </row>
    <row r="179" spans="1:8" s="153" customFormat="1" ht="15.75">
      <c r="A179" s="180"/>
      <c r="B179" s="181"/>
      <c r="C179" s="182"/>
      <c r="D179" s="182"/>
      <c r="E179" s="183"/>
      <c r="F179" s="183"/>
      <c r="G179" s="184"/>
      <c r="H179" s="178"/>
    </row>
    <row r="180" spans="1:8" ht="18" customHeight="1">
      <c r="A180" s="71"/>
      <c r="B180" s="204" t="s">
        <v>53</v>
      </c>
      <c r="C180" s="73"/>
      <c r="D180" s="73"/>
      <c r="E180" s="8"/>
      <c r="F180" s="75" t="s">
        <v>0</v>
      </c>
      <c r="G180" s="76">
        <f>+F186</f>
        <v>1350</v>
      </c>
    </row>
    <row r="181" spans="1:8" ht="12.75" customHeight="1">
      <c r="A181" s="79"/>
      <c r="B181" s="80"/>
      <c r="C181" s="73"/>
      <c r="D181" s="73"/>
      <c r="E181" s="74"/>
      <c r="F181" s="73"/>
      <c r="G181" s="66"/>
    </row>
    <row r="182" spans="1:8" ht="12.75" customHeight="1">
      <c r="A182" s="52"/>
      <c r="B182" s="83" t="s">
        <v>51</v>
      </c>
      <c r="C182" s="84" t="s">
        <v>59</v>
      </c>
      <c r="D182" s="84" t="s">
        <v>24</v>
      </c>
      <c r="E182" s="84" t="s">
        <v>5</v>
      </c>
      <c r="F182" s="84" t="s">
        <v>4</v>
      </c>
      <c r="G182" s="66"/>
    </row>
    <row r="183" spans="1:8">
      <c r="A183" s="52"/>
      <c r="B183" s="45" t="s">
        <v>234</v>
      </c>
      <c r="C183" s="97" t="s">
        <v>152</v>
      </c>
      <c r="D183" s="97">
        <v>9</v>
      </c>
      <c r="E183" s="97">
        <v>120</v>
      </c>
      <c r="F183" s="45">
        <f>+D183*E183</f>
        <v>1080</v>
      </c>
      <c r="G183" s="66"/>
    </row>
    <row r="184" spans="1:8" ht="12.75" customHeight="1">
      <c r="A184" s="52"/>
      <c r="B184" s="45" t="s">
        <v>235</v>
      </c>
      <c r="C184" s="97" t="s">
        <v>141</v>
      </c>
      <c r="D184" s="97">
        <v>9</v>
      </c>
      <c r="E184" s="97">
        <v>20</v>
      </c>
      <c r="F184" s="45">
        <f>+D184*E184</f>
        <v>180</v>
      </c>
      <c r="G184" s="66"/>
    </row>
    <row r="185" spans="1:8">
      <c r="A185" s="52"/>
      <c r="B185" s="45" t="s">
        <v>236</v>
      </c>
      <c r="C185" s="97" t="s">
        <v>141</v>
      </c>
      <c r="D185" s="97">
        <v>9</v>
      </c>
      <c r="E185" s="97">
        <v>10</v>
      </c>
      <c r="F185" s="45">
        <f>+D185*E185</f>
        <v>90</v>
      </c>
      <c r="G185" s="66"/>
    </row>
    <row r="186" spans="1:8" ht="12.75" customHeight="1">
      <c r="A186" s="81"/>
      <c r="B186" s="511" t="s">
        <v>3</v>
      </c>
      <c r="C186" s="511"/>
      <c r="D186" s="511"/>
      <c r="E186" s="511"/>
      <c r="F186" s="86">
        <f>SUM(F183:F185)</f>
        <v>1350</v>
      </c>
      <c r="G186" s="66"/>
    </row>
    <row r="187" spans="1:8" ht="12.75" customHeight="1">
      <c r="A187" s="81"/>
      <c r="B187" s="105"/>
      <c r="C187" s="105"/>
      <c r="D187" s="105"/>
      <c r="E187" s="105"/>
      <c r="F187" s="73"/>
      <c r="G187" s="66"/>
    </row>
    <row r="188" spans="1:8" ht="12.75" customHeight="1">
      <c r="A188" s="81"/>
      <c r="B188" s="105"/>
      <c r="C188" s="105"/>
      <c r="D188" s="105"/>
      <c r="E188" s="105"/>
      <c r="G188" s="66"/>
    </row>
    <row r="189" spans="1:8" ht="15" hidden="1" customHeight="1">
      <c r="A189" s="71" t="s">
        <v>32</v>
      </c>
      <c r="B189" s="72" t="s">
        <v>117</v>
      </c>
      <c r="C189" s="73"/>
      <c r="D189" s="73"/>
      <c r="E189" s="8"/>
      <c r="F189" s="75" t="s">
        <v>0</v>
      </c>
      <c r="G189" s="133">
        <f>F197</f>
        <v>6445.5</v>
      </c>
    </row>
    <row r="190" spans="1:8" ht="12.75" hidden="1" customHeight="1">
      <c r="A190" s="79"/>
      <c r="B190" s="80"/>
      <c r="C190" s="73"/>
      <c r="D190" s="73"/>
      <c r="E190" s="74"/>
      <c r="F190" s="73"/>
      <c r="G190" s="66"/>
    </row>
    <row r="191" spans="1:8" ht="12.75" hidden="1" customHeight="1">
      <c r="A191" s="79">
        <v>1</v>
      </c>
      <c r="B191" s="80" t="s">
        <v>76</v>
      </c>
      <c r="C191" s="73"/>
      <c r="D191" s="73"/>
      <c r="E191" s="74"/>
      <c r="F191" s="73"/>
      <c r="G191" s="66"/>
    </row>
    <row r="192" spans="1:8" ht="12.75" hidden="1" customHeight="1">
      <c r="A192" s="79"/>
      <c r="B192" s="80"/>
      <c r="C192" s="73"/>
      <c r="D192" s="73"/>
      <c r="E192" s="74"/>
      <c r="F192" s="73"/>
      <c r="G192" s="66"/>
    </row>
    <row r="193" spans="1:7" ht="12.75" hidden="1" customHeight="1">
      <c r="A193" s="79"/>
      <c r="B193" s="83" t="s">
        <v>51</v>
      </c>
      <c r="C193" s="84" t="s">
        <v>59</v>
      </c>
      <c r="D193" s="84" t="s">
        <v>24</v>
      </c>
      <c r="E193" s="84" t="s">
        <v>5</v>
      </c>
      <c r="F193" s="84" t="s">
        <v>4</v>
      </c>
      <c r="G193" s="66"/>
    </row>
    <row r="194" spans="1:7" ht="14.25" hidden="1" customHeight="1">
      <c r="A194" s="79"/>
      <c r="B194" s="106" t="s">
        <v>115</v>
      </c>
      <c r="C194" s="7" t="s">
        <v>59</v>
      </c>
      <c r="D194" s="74">
        <v>1</v>
      </c>
      <c r="E194" s="44">
        <v>165</v>
      </c>
      <c r="F194" s="134">
        <f>D194*E194</f>
        <v>165</v>
      </c>
      <c r="G194" s="66"/>
    </row>
    <row r="195" spans="1:7" ht="14.25" hidden="1" customHeight="1">
      <c r="A195" s="79"/>
      <c r="B195" s="135" t="s">
        <v>114</v>
      </c>
      <c r="C195" s="7" t="s">
        <v>59</v>
      </c>
      <c r="D195" s="74">
        <v>1</v>
      </c>
      <c r="E195" s="44">
        <v>5600</v>
      </c>
      <c r="F195" s="134">
        <f>D195*E195</f>
        <v>5600</v>
      </c>
      <c r="G195" s="66"/>
    </row>
    <row r="196" spans="1:7" ht="12.75" hidden="1" customHeight="1">
      <c r="A196" s="79"/>
      <c r="B196" s="136" t="s">
        <v>106</v>
      </c>
      <c r="C196" s="88" t="s">
        <v>59</v>
      </c>
      <c r="D196" s="137">
        <v>1</v>
      </c>
      <c r="E196" s="88">
        <v>680.5</v>
      </c>
      <c r="F196" s="138">
        <f>+D196*E196</f>
        <v>680.5</v>
      </c>
      <c r="G196" s="66"/>
    </row>
    <row r="197" spans="1:7" ht="12.75" hidden="1" customHeight="1">
      <c r="A197" s="79"/>
      <c r="B197" s="508" t="s">
        <v>3</v>
      </c>
      <c r="C197" s="509"/>
      <c r="D197" s="509"/>
      <c r="E197" s="510"/>
      <c r="F197" s="86">
        <f>SUM(F194:F196)</f>
        <v>6445.5</v>
      </c>
      <c r="G197" s="66"/>
    </row>
    <row r="198" spans="1:7" ht="12.75" hidden="1" customHeight="1">
      <c r="A198" s="81"/>
      <c r="B198" s="105"/>
      <c r="C198" s="105"/>
      <c r="D198" s="105"/>
      <c r="E198" s="105"/>
      <c r="F198" s="73"/>
      <c r="G198" s="66"/>
    </row>
    <row r="199" spans="1:7" ht="12.75" hidden="1" customHeight="1">
      <c r="A199" s="81"/>
      <c r="B199" s="105"/>
      <c r="C199" s="105"/>
      <c r="D199" s="105"/>
      <c r="E199" s="105"/>
      <c r="F199" s="73"/>
      <c r="G199" s="66"/>
    </row>
    <row r="200" spans="1:7" ht="15.75">
      <c r="A200" s="523" t="s">
        <v>238</v>
      </c>
      <c r="B200" s="523"/>
      <c r="C200" s="523"/>
      <c r="D200" s="523"/>
      <c r="E200" s="523"/>
      <c r="F200" s="75" t="s">
        <v>0</v>
      </c>
      <c r="G200" s="139">
        <f>+G18</f>
        <v>18403.09</v>
      </c>
    </row>
    <row r="203" spans="1:7">
      <c r="G203" s="68"/>
    </row>
    <row r="205" spans="1:7">
      <c r="G205" s="55"/>
    </row>
    <row r="206" spans="1:7">
      <c r="G206" s="140"/>
    </row>
    <row r="207" spans="1:7">
      <c r="G207" s="140"/>
    </row>
    <row r="208" spans="1:7">
      <c r="F208" s="68"/>
      <c r="G208" s="55"/>
    </row>
  </sheetData>
  <mergeCells count="16">
    <mergeCell ref="A24:G24"/>
    <mergeCell ref="A200:E200"/>
    <mergeCell ref="B176:E176"/>
    <mergeCell ref="B186:E186"/>
    <mergeCell ref="B197:E197"/>
    <mergeCell ref="B37:E37"/>
    <mergeCell ref="B49:E49"/>
    <mergeCell ref="B59:E59"/>
    <mergeCell ref="B70:E70"/>
    <mergeCell ref="B79:E79"/>
    <mergeCell ref="B90:E90"/>
    <mergeCell ref="A1:G1"/>
    <mergeCell ref="C9:G10"/>
    <mergeCell ref="C13:F13"/>
    <mergeCell ref="B18:F18"/>
    <mergeCell ref="A22:G22"/>
  </mergeCells>
  <printOptions horizontalCentered="1"/>
  <pageMargins left="0.55000000000000004" right="0.19685039370078741" top="0.98425196850393704" bottom="0.39370078740157483" header="0.02" footer="0"/>
  <pageSetup paperSize="9" scale="68" orientation="portrait" horizontalDpi="4294967292" verticalDpi="180" r:id="rId1"/>
  <headerFooter alignWithMargins="0"/>
  <rowBreaks count="3" manualBreakCount="3">
    <brk id="20" max="16383" man="1"/>
    <brk id="90" max="6" man="1"/>
    <brk id="152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11</vt:i4>
      </vt:variant>
    </vt:vector>
  </HeadingPairs>
  <TitlesOfParts>
    <vt:vector size="19" baseType="lpstr">
      <vt:lpstr>Resumen General</vt:lpstr>
      <vt:lpstr>Resumen</vt:lpstr>
      <vt:lpstr>C.Directo</vt:lpstr>
      <vt:lpstr>G.General</vt:lpstr>
      <vt:lpstr>Exp.Téc. </vt:lpstr>
      <vt:lpstr>Supervision</vt:lpstr>
      <vt:lpstr>Liquidacion</vt:lpstr>
      <vt:lpstr>Capacitacion Social</vt:lpstr>
      <vt:lpstr>C.Directo!Área_de_impresión</vt:lpstr>
      <vt:lpstr>'Capacitacion Social'!Área_de_impresión</vt:lpstr>
      <vt:lpstr>'Exp.Téc. '!Área_de_impresión</vt:lpstr>
      <vt:lpstr>G.General!Área_de_impresión</vt:lpstr>
      <vt:lpstr>Liquidacion!Área_de_impresión</vt:lpstr>
      <vt:lpstr>Resumen!Área_de_impresión</vt:lpstr>
      <vt:lpstr>'Resumen General'!Área_de_impresión</vt:lpstr>
      <vt:lpstr>Supervision!Área_de_impresión</vt:lpstr>
      <vt:lpstr>G.General!Títulos_a_imprimir</vt:lpstr>
      <vt:lpstr>Liquidacion!Títulos_a_imprimir</vt:lpstr>
      <vt:lpstr>Supervision!Títulos_a_imprimir</vt:lpstr>
    </vt:vector>
  </TitlesOfParts>
  <Company>CTAR CUSCO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GIS-02</dc:creator>
  <cp:lastModifiedBy>Usuario</cp:lastModifiedBy>
  <cp:lastPrinted>2020-03-12T01:31:21Z</cp:lastPrinted>
  <dcterms:created xsi:type="dcterms:W3CDTF">2003-01-21T17:07:22Z</dcterms:created>
  <dcterms:modified xsi:type="dcterms:W3CDTF">2020-08-16T13:51:55Z</dcterms:modified>
</cp:coreProperties>
</file>